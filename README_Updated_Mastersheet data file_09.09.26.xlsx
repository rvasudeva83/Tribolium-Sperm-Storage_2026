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r_vasudeva_exeter_ac_uk/Documents/2014/Manuscripts/Sperm Management/Spermatheca Sperm Storage MS 2025/Submission/Dataset/"/>
    </mc:Choice>
  </mc:AlternateContent>
  <xr:revisionPtr revIDLastSave="24" documentId="8_{BD07044D-C7DD-2F42-B687-0B59116F800B}" xr6:coauthVersionLast="47" xr6:coauthVersionMax="47" xr10:uidLastSave="{C5250AE9-6E80-5B44-8C90-6FFDF15EA02C}"/>
  <bookViews>
    <workbookView xWindow="0" yWindow="740" windowWidth="34560" windowHeight="21600" activeTab="3" xr2:uid="{E59154C1-09F3-834C-8FC2-17DF06278565}"/>
  </bookViews>
  <sheets>
    <sheet name="README" sheetId="1" r:id="rId1"/>
    <sheet name="Figure 2 (Fertility-Limitation)" sheetId="2" r:id="rId2"/>
    <sheet name="Figure 4 (Tubule numbers)" sheetId="3" r:id="rId3"/>
    <sheet name="Figure 5 (GFP Sperm storage)" sheetId="4" r:id="rId4"/>
    <sheet name="Figure 6 (Offspring produced)" sheetId="5" r:id="rId5"/>
    <sheet name="Figure 7 (Postcopulatory SS)" sheetId="6" r:id="rId6"/>
  </sheets>
  <definedNames>
    <definedName name="citation" localSheetId="0">README!$A$126</definedName>
    <definedName name="contact" localSheetId="0">README!$A$124</definedName>
    <definedName name="female_sperm_shotage_6_days_fig_2a.csv" localSheetId="0">README!$A$34</definedName>
    <definedName name="p2_conspecific_data_fig_7a.csv" localSheetId="0">README!$A$110</definedName>
    <definedName name="readme" localSheetId="0">README!$A$10</definedName>
    <definedName name="X14c6c08238a5f46d33e0b280e618824dc9efc47" localSheetId="0">README!$A$83</definedName>
    <definedName name="X200df35840ab51ee99384eb289b344010547c14" localSheetId="0">README!$A$65</definedName>
    <definedName name="X289bd4aafd6a95db7849aa631071745b5126399" localSheetId="0">README!$A$92</definedName>
    <definedName name="X2fcb0283d558db2e9f8037df1b4e2868d0535bd" localSheetId="0">README!$A$11</definedName>
    <definedName name="X7ec80ee3d6b8b2d0faf82771d7fcde9d5e25107" localSheetId="0">README!$A$116</definedName>
    <definedName name="X7fe816a0c5b97863996c973eb1064c61d876437" localSheetId="0">README!$A$56</definedName>
    <definedName name="Xef9d6f232f6e30b52ef04f6633352c772f47ffa" localSheetId="0">README!$A$48</definedName>
    <definedName name="Xf5dfa1583a1234f3a24e255e884c4a0ff7a888d" localSheetId="0">README!$A$102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00" i="6" l="1"/>
  <c r="Z100" i="6" s="1"/>
  <c r="O100" i="6"/>
  <c r="Q100" i="6" s="1"/>
  <c r="X99" i="6"/>
  <c r="O99" i="6"/>
  <c r="X98" i="6"/>
  <c r="Y98" i="6" s="1"/>
  <c r="O98" i="6"/>
  <c r="X97" i="6"/>
  <c r="O97" i="6"/>
  <c r="X96" i="6"/>
  <c r="Y96" i="6" s="1"/>
  <c r="O96" i="6"/>
  <c r="Q96" i="6" s="1"/>
  <c r="X95" i="6"/>
  <c r="O95" i="6"/>
  <c r="Z94" i="6"/>
  <c r="Y94" i="6"/>
  <c r="X94" i="6"/>
  <c r="O94" i="6"/>
  <c r="P94" i="6" s="1"/>
  <c r="X93" i="6"/>
  <c r="O93" i="6"/>
  <c r="P93" i="6" s="1"/>
  <c r="X92" i="6"/>
  <c r="O92" i="6"/>
  <c r="Q92" i="6" s="1"/>
  <c r="X91" i="6"/>
  <c r="O91" i="6"/>
  <c r="P91" i="6" s="1"/>
  <c r="X90" i="6"/>
  <c r="O90" i="6"/>
  <c r="P90" i="6" s="1"/>
  <c r="X89" i="6"/>
  <c r="Y89" i="6" s="1"/>
  <c r="O89" i="6"/>
  <c r="Q89" i="6" s="1"/>
  <c r="X88" i="6"/>
  <c r="O88" i="6"/>
  <c r="X87" i="6"/>
  <c r="Z87" i="6" s="1"/>
  <c r="O87" i="6"/>
  <c r="P87" i="6" s="1"/>
  <c r="X86" i="6"/>
  <c r="Y86" i="6" s="1"/>
  <c r="O86" i="6"/>
  <c r="Q86" i="6" s="1"/>
  <c r="X85" i="6"/>
  <c r="O85" i="6"/>
  <c r="P85" i="6" s="1"/>
  <c r="X84" i="6"/>
  <c r="Z84" i="6" s="1"/>
  <c r="O84" i="6"/>
  <c r="Q84" i="6" s="1"/>
  <c r="X83" i="6"/>
  <c r="O83" i="6"/>
  <c r="Q83" i="6" s="1"/>
  <c r="X82" i="6"/>
  <c r="O82" i="6"/>
  <c r="X81" i="6"/>
  <c r="O81" i="6"/>
  <c r="Q81" i="6" s="1"/>
  <c r="X80" i="6"/>
  <c r="Z80" i="6" s="1"/>
  <c r="O80" i="6"/>
  <c r="Q80" i="6" s="1"/>
  <c r="X79" i="6"/>
  <c r="Y79" i="6" s="1"/>
  <c r="O79" i="6"/>
  <c r="P79" i="6" s="1"/>
  <c r="X78" i="6"/>
  <c r="Z78" i="6" s="1"/>
  <c r="O78" i="6"/>
  <c r="Q78" i="6" s="1"/>
  <c r="X77" i="6"/>
  <c r="Z77" i="6" s="1"/>
  <c r="O77" i="6"/>
  <c r="Q77" i="6" s="1"/>
  <c r="X76" i="6"/>
  <c r="Z76" i="6" s="1"/>
  <c r="O76" i="6"/>
  <c r="P76" i="6" s="1"/>
  <c r="X75" i="6"/>
  <c r="O75" i="6"/>
  <c r="X74" i="6"/>
  <c r="O74" i="6"/>
  <c r="X73" i="6"/>
  <c r="Y73" i="6" s="1"/>
  <c r="O73" i="6"/>
  <c r="P73" i="6" s="1"/>
  <c r="X72" i="6"/>
  <c r="O72" i="6"/>
  <c r="X71" i="6"/>
  <c r="O71" i="6"/>
  <c r="X70" i="6"/>
  <c r="O70" i="6"/>
  <c r="Q70" i="6" s="1"/>
  <c r="X69" i="6"/>
  <c r="Z69" i="6" s="1"/>
  <c r="O69" i="6"/>
  <c r="Q69" i="6" s="1"/>
  <c r="X68" i="6"/>
  <c r="Z68" i="6" s="1"/>
  <c r="O68" i="6"/>
  <c r="P68" i="6" s="1"/>
  <c r="X67" i="6"/>
  <c r="Z67" i="6" s="1"/>
  <c r="O67" i="6"/>
  <c r="Q67" i="6" s="1"/>
  <c r="X66" i="6"/>
  <c r="O66" i="6"/>
  <c r="X65" i="6"/>
  <c r="Z65" i="6" s="1"/>
  <c r="O65" i="6"/>
  <c r="Q65" i="6" s="1"/>
  <c r="X64" i="6"/>
  <c r="O64" i="6"/>
  <c r="X63" i="6"/>
  <c r="O63" i="6"/>
  <c r="X62" i="6"/>
  <c r="O62" i="6"/>
  <c r="X61" i="6"/>
  <c r="Z61" i="6" s="1"/>
  <c r="O61" i="6"/>
  <c r="P61" i="6" s="1"/>
  <c r="X60" i="6"/>
  <c r="Y60" i="6" s="1"/>
  <c r="O60" i="6"/>
  <c r="Q60" i="6" s="1"/>
  <c r="X59" i="6"/>
  <c r="Y59" i="6" s="1"/>
  <c r="O59" i="6"/>
  <c r="Q59" i="6" s="1"/>
  <c r="X58" i="6"/>
  <c r="Z58" i="6" s="1"/>
  <c r="O58" i="6"/>
  <c r="Q58" i="6" s="1"/>
  <c r="X57" i="6"/>
  <c r="O57" i="6"/>
  <c r="X56" i="6"/>
  <c r="Y56" i="6" s="1"/>
  <c r="O56" i="6"/>
  <c r="Q56" i="6" s="1"/>
  <c r="X55" i="6"/>
  <c r="Z55" i="6" s="1"/>
  <c r="O55" i="6"/>
  <c r="Q55" i="6" s="1"/>
  <c r="X54" i="6"/>
  <c r="Z54" i="6" s="1"/>
  <c r="O54" i="6"/>
  <c r="P54" i="6" s="1"/>
  <c r="X53" i="6"/>
  <c r="O53" i="6"/>
  <c r="X52" i="6"/>
  <c r="Z52" i="6" s="1"/>
  <c r="O52" i="6"/>
  <c r="Q52" i="6" s="1"/>
  <c r="X51" i="6"/>
  <c r="O51" i="6"/>
  <c r="X50" i="6"/>
  <c r="Y50" i="6" s="1"/>
  <c r="O50" i="6"/>
  <c r="Q50" i="6" s="1"/>
  <c r="X49" i="6"/>
  <c r="Y49" i="6" s="1"/>
  <c r="O49" i="6"/>
  <c r="Q49" i="6" s="1"/>
  <c r="X48" i="6"/>
  <c r="Y48" i="6" s="1"/>
  <c r="O48" i="6"/>
  <c r="X47" i="6"/>
  <c r="Z47" i="6" s="1"/>
  <c r="O47" i="6"/>
  <c r="P47" i="6" s="1"/>
  <c r="X46" i="6"/>
  <c r="Y46" i="6" s="1"/>
  <c r="O46" i="6"/>
  <c r="Q46" i="6" s="1"/>
  <c r="X45" i="6"/>
  <c r="Z45" i="6" s="1"/>
  <c r="O45" i="6"/>
  <c r="Q45" i="6" s="1"/>
  <c r="X40" i="6"/>
  <c r="Z40" i="6" s="1"/>
  <c r="O40" i="6"/>
  <c r="Q40" i="6" s="1"/>
  <c r="X39" i="6"/>
  <c r="O39" i="6"/>
  <c r="P39" i="6" s="1"/>
  <c r="X38" i="6"/>
  <c r="Z38" i="6" s="1"/>
  <c r="O38" i="6"/>
  <c r="X37" i="6"/>
  <c r="Z37" i="6" s="1"/>
  <c r="O37" i="6"/>
  <c r="P37" i="6" s="1"/>
  <c r="X36" i="6"/>
  <c r="O36" i="6"/>
  <c r="X35" i="6"/>
  <c r="Z35" i="6" s="1"/>
  <c r="O35" i="6"/>
  <c r="Q35" i="6" s="1"/>
  <c r="X34" i="6"/>
  <c r="Z34" i="6" s="1"/>
  <c r="O34" i="6"/>
  <c r="Q34" i="6" s="1"/>
  <c r="X33" i="6"/>
  <c r="Z33" i="6" s="1"/>
  <c r="O33" i="6"/>
  <c r="P33" i="6" s="1"/>
  <c r="X32" i="6"/>
  <c r="Y32" i="6" s="1"/>
  <c r="O32" i="6"/>
  <c r="Q32" i="6" s="1"/>
  <c r="X31" i="6"/>
  <c r="Y31" i="6" s="1"/>
  <c r="O31" i="6"/>
  <c r="Q31" i="6" s="1"/>
  <c r="X30" i="6"/>
  <c r="Z30" i="6" s="1"/>
  <c r="O30" i="6"/>
  <c r="Q30" i="6" s="1"/>
  <c r="X29" i="6"/>
  <c r="O29" i="6"/>
  <c r="X28" i="6"/>
  <c r="Y28" i="6" s="1"/>
  <c r="O28" i="6"/>
  <c r="Q28" i="6" s="1"/>
  <c r="X27" i="6"/>
  <c r="O27" i="6"/>
  <c r="X26" i="6"/>
  <c r="Y26" i="6" s="1"/>
  <c r="O26" i="6"/>
  <c r="P26" i="6" s="1"/>
  <c r="X25" i="6"/>
  <c r="Z25" i="6" s="1"/>
  <c r="O25" i="6"/>
  <c r="Q25" i="6" s="1"/>
  <c r="X24" i="6"/>
  <c r="O24" i="6"/>
  <c r="P24" i="6" s="1"/>
  <c r="X23" i="6"/>
  <c r="Z23" i="6" s="1"/>
  <c r="O23" i="6"/>
  <c r="X22" i="6"/>
  <c r="Z22" i="6" s="1"/>
  <c r="O22" i="6"/>
  <c r="Q22" i="6" s="1"/>
  <c r="X21" i="6"/>
  <c r="O21" i="6"/>
  <c r="X20" i="6"/>
  <c r="O20" i="6"/>
  <c r="X19" i="6"/>
  <c r="Z19" i="6" s="1"/>
  <c r="O19" i="6"/>
  <c r="Q19" i="6" s="1"/>
  <c r="X18" i="6"/>
  <c r="Z18" i="6" s="1"/>
  <c r="O18" i="6"/>
  <c r="P18" i="6" s="1"/>
  <c r="X17" i="6"/>
  <c r="Y17" i="6" s="1"/>
  <c r="O17" i="6"/>
  <c r="P17" i="6" s="1"/>
  <c r="X16" i="6"/>
  <c r="O16" i="6"/>
  <c r="X15" i="6"/>
  <c r="Z15" i="6" s="1"/>
  <c r="O15" i="6"/>
  <c r="P15" i="6" s="1"/>
  <c r="X14" i="6"/>
  <c r="O14" i="6"/>
  <c r="X13" i="6"/>
  <c r="O13" i="6"/>
  <c r="X12" i="6"/>
  <c r="O12" i="6"/>
  <c r="P12" i="6" s="1"/>
  <c r="X11" i="6"/>
  <c r="Z11" i="6" s="1"/>
  <c r="O11" i="6"/>
  <c r="P11" i="6" s="1"/>
  <c r="X10" i="6"/>
  <c r="Y10" i="6" s="1"/>
  <c r="O10" i="6"/>
  <c r="P10" i="6" s="1"/>
  <c r="X9" i="6"/>
  <c r="Z9" i="6" s="1"/>
  <c r="O9" i="6"/>
  <c r="Q9" i="6" s="1"/>
  <c r="X8" i="6"/>
  <c r="O8" i="6"/>
  <c r="X7" i="6"/>
  <c r="Y7" i="6" s="1"/>
  <c r="O7" i="6"/>
  <c r="P7" i="6" s="1"/>
  <c r="X6" i="6"/>
  <c r="Z6" i="6" s="1"/>
  <c r="O6" i="6"/>
  <c r="Q6" i="6" s="1"/>
  <c r="X5" i="6"/>
  <c r="Z5" i="6" s="1"/>
  <c r="O5" i="6"/>
  <c r="Q5" i="6" s="1"/>
  <c r="X4" i="6"/>
  <c r="Z4" i="6" s="1"/>
  <c r="O4" i="6"/>
  <c r="P4" i="6" s="1"/>
  <c r="Z50" i="6" l="1"/>
  <c r="Z56" i="6"/>
  <c r="Q85" i="6"/>
  <c r="Z28" i="6"/>
  <c r="Y9" i="6"/>
  <c r="Q54" i="6"/>
  <c r="Z59" i="6"/>
  <c r="Q24" i="6"/>
  <c r="P65" i="6"/>
  <c r="Z7" i="6"/>
  <c r="Y45" i="6"/>
  <c r="Q91" i="6"/>
  <c r="Q39" i="6"/>
  <c r="Q93" i="6"/>
  <c r="P35" i="6"/>
  <c r="Y76" i="6"/>
  <c r="Z86" i="6"/>
  <c r="P9" i="6"/>
  <c r="Y25" i="6"/>
  <c r="Z60" i="6"/>
  <c r="Q4" i="6"/>
  <c r="P78" i="6"/>
  <c r="Y22" i="6"/>
  <c r="Q68" i="6"/>
  <c r="P84" i="6"/>
  <c r="Y6" i="6"/>
  <c r="Z10" i="6"/>
  <c r="Z46" i="6"/>
  <c r="Z89" i="6"/>
  <c r="Q94" i="6"/>
  <c r="P6" i="6"/>
  <c r="Z31" i="6"/>
  <c r="Q73" i="6"/>
  <c r="Z98" i="6"/>
  <c r="Z17" i="6"/>
  <c r="Z32" i="6"/>
  <c r="Q79" i="6"/>
  <c r="P81" i="6"/>
  <c r="Z26" i="6"/>
  <c r="P69" i="6"/>
  <c r="Z41" i="6"/>
  <c r="P40" i="6"/>
  <c r="P67" i="6"/>
  <c r="P32" i="6"/>
  <c r="P46" i="6"/>
  <c r="Z48" i="6"/>
  <c r="P60" i="6"/>
  <c r="Z73" i="6"/>
  <c r="Z79" i="6"/>
  <c r="P83" i="6"/>
  <c r="P86" i="6"/>
  <c r="P89" i="6"/>
  <c r="P92" i="6"/>
  <c r="Q7" i="6"/>
  <c r="Q10" i="6"/>
  <c r="Q17" i="6"/>
  <c r="Y19" i="6"/>
  <c r="Y23" i="6"/>
  <c r="Q26" i="6"/>
  <c r="Y34" i="6"/>
  <c r="Y37" i="6"/>
  <c r="Y40" i="6"/>
  <c r="Y67" i="6"/>
  <c r="Y77" i="6"/>
  <c r="P5" i="6"/>
  <c r="P30" i="6"/>
  <c r="P49" i="6"/>
  <c r="P52" i="6"/>
  <c r="P55" i="6"/>
  <c r="P58" i="6"/>
  <c r="P70" i="6"/>
  <c r="P80" i="6"/>
  <c r="P96" i="6"/>
  <c r="P100" i="6"/>
  <c r="P19" i="6"/>
  <c r="P34" i="6"/>
  <c r="P77" i="6"/>
  <c r="Y4" i="6"/>
  <c r="Q12" i="6"/>
  <c r="Q37" i="6"/>
  <c r="Y54" i="6"/>
  <c r="Y100" i="6"/>
  <c r="Y69" i="6"/>
  <c r="Y5" i="6"/>
  <c r="Z96" i="6"/>
  <c r="Q11" i="6"/>
  <c r="Q15" i="6"/>
  <c r="Q18" i="6"/>
  <c r="Q33" i="6"/>
  <c r="Y35" i="6"/>
  <c r="Q47" i="6"/>
  <c r="Q61" i="6"/>
  <c r="Y65" i="6"/>
  <c r="Y68" i="6"/>
  <c r="Q76" i="6"/>
  <c r="Y78" i="6"/>
  <c r="Y84" i="6"/>
  <c r="Q87" i="6"/>
  <c r="Q90" i="6"/>
  <c r="Y30" i="6"/>
  <c r="Y38" i="6"/>
  <c r="Y52" i="6"/>
  <c r="P22" i="6"/>
  <c r="P25" i="6"/>
  <c r="P28" i="6"/>
  <c r="P31" i="6"/>
  <c r="P45" i="6"/>
  <c r="P50" i="6"/>
  <c r="P56" i="6"/>
  <c r="P59" i="6"/>
  <c r="Y80" i="6"/>
  <c r="Z49" i="6"/>
  <c r="Y11" i="6"/>
  <c r="Y15" i="6"/>
  <c r="Y18" i="6"/>
  <c r="Y33" i="6"/>
  <c r="Y47" i="6"/>
  <c r="Y61" i="6"/>
  <c r="Y87" i="6"/>
  <c r="Y55" i="6"/>
  <c r="Y58" i="6"/>
  <c r="Q101" i="6" l="1"/>
  <c r="Q41" i="6"/>
  <c r="P41" i="6"/>
  <c r="Y101" i="6"/>
  <c r="Z101" i="6"/>
  <c r="P101" i="6"/>
  <c r="Y41" i="6"/>
</calcChain>
</file>

<file path=xl/sharedStrings.xml><?xml version="1.0" encoding="utf-8"?>
<sst xmlns="http://schemas.openxmlformats.org/spreadsheetml/2006/main" count="2292" uniqueCount="494">
  <si>
    <t>F.ID</t>
  </si>
  <si>
    <t>Offsp</t>
  </si>
  <si>
    <t>Block</t>
  </si>
  <si>
    <t>Data</t>
  </si>
  <si>
    <t>Figure 2A</t>
  </si>
  <si>
    <t>M.ID</t>
  </si>
  <si>
    <t>B1</t>
  </si>
  <si>
    <t>B2</t>
  </si>
  <si>
    <t>Totals</t>
  </si>
  <si>
    <t>F1</t>
  </si>
  <si>
    <t>F2</t>
  </si>
  <si>
    <t>F3</t>
  </si>
  <si>
    <t>F4</t>
  </si>
  <si>
    <t>Figure 2B</t>
  </si>
  <si>
    <t>Treatment</t>
  </si>
  <si>
    <t>ID</t>
  </si>
  <si>
    <t>Tubule_number</t>
  </si>
  <si>
    <t>Condition</t>
  </si>
  <si>
    <t>Body.Size</t>
  </si>
  <si>
    <t>GA1</t>
  </si>
  <si>
    <t>Non-Virgins</t>
  </si>
  <si>
    <t>NA</t>
  </si>
  <si>
    <t>Figure 4</t>
  </si>
  <si>
    <t>Line</t>
  </si>
  <si>
    <t>Replicate</t>
  </si>
  <si>
    <t>MaleBias</t>
  </si>
  <si>
    <t>MA</t>
  </si>
  <si>
    <t>A1</t>
  </si>
  <si>
    <t>A3</t>
  </si>
  <si>
    <t>A5</t>
  </si>
  <si>
    <t>A6</t>
  </si>
  <si>
    <t>A10</t>
  </si>
  <si>
    <t>A11</t>
  </si>
  <si>
    <t>A14</t>
  </si>
  <si>
    <t>A15</t>
  </si>
  <si>
    <t>A17</t>
  </si>
  <si>
    <t>A18</t>
  </si>
  <si>
    <t>A22</t>
  </si>
  <si>
    <t>A24</t>
  </si>
  <si>
    <t>A25</t>
  </si>
  <si>
    <t>A27</t>
  </si>
  <si>
    <t>A30</t>
  </si>
  <si>
    <t>A31</t>
  </si>
  <si>
    <t>A32</t>
  </si>
  <si>
    <t>MB</t>
  </si>
  <si>
    <t>B3</t>
  </si>
  <si>
    <t>B4</t>
  </si>
  <si>
    <t>B5</t>
  </si>
  <si>
    <t>B7</t>
  </si>
  <si>
    <t>B8</t>
  </si>
  <si>
    <t>B9</t>
  </si>
  <si>
    <t>B10</t>
  </si>
  <si>
    <t>B11</t>
  </si>
  <si>
    <t>B12</t>
  </si>
  <si>
    <t>B14</t>
  </si>
  <si>
    <t>B15</t>
  </si>
  <si>
    <t>B16</t>
  </si>
  <si>
    <t>B17</t>
  </si>
  <si>
    <t>B18</t>
  </si>
  <si>
    <t>B19</t>
  </si>
  <si>
    <t>MC</t>
  </si>
  <si>
    <t>C1</t>
  </si>
  <si>
    <t>C2</t>
  </si>
  <si>
    <t>C4</t>
  </si>
  <si>
    <t>C5</t>
  </si>
  <si>
    <t>C6</t>
  </si>
  <si>
    <t>C7</t>
  </si>
  <si>
    <t>C10</t>
  </si>
  <si>
    <t>C11</t>
  </si>
  <si>
    <t>C13</t>
  </si>
  <si>
    <t>C15</t>
  </si>
  <si>
    <t>C16</t>
  </si>
  <si>
    <t>C18</t>
  </si>
  <si>
    <t>C19</t>
  </si>
  <si>
    <t>C20</t>
  </si>
  <si>
    <t>C21</t>
  </si>
  <si>
    <t>C22</t>
  </si>
  <si>
    <t>C25</t>
  </si>
  <si>
    <t>FemBias</t>
  </si>
  <si>
    <t>FA</t>
  </si>
  <si>
    <t>D3</t>
  </si>
  <si>
    <t>D8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</si>
  <si>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</si>
  <si>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</si>
  <si>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</si>
  <si>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</si>
  <si>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</si>
  <si>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</si>
  <si>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</si>
  <si>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</si>
  <si>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</si>
  <si>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D35</t>
  </si>
  <si>
    <t>D36</t>
  </si>
  <si>
    <t>D37</t>
  </si>
  <si>
    <t>D38</t>
  </si>
  <si>
    <t>D39</t>
  </si>
  <si>
    <t>D40</t>
  </si>
  <si>
    <t>FB</t>
  </si>
  <si>
    <t>E21</t>
  </si>
  <si>
    <t>E22</t>
  </si>
  <si>
    <t>E23</t>
  </si>
  <si>
    <t>E24</t>
  </si>
  <si>
    <t>E25</t>
  </si>
  <si>
    <t>E26</t>
  </si>
  <si>
    <t>E27</t>
  </si>
  <si>
    <t>E28</t>
  </si>
  <si>
    <t>E30</t>
  </si>
  <si>
    <t>E32</t>
  </si>
  <si>
    <t>E33</t>
  </si>
  <si>
    <t>E34</t>
  </si>
  <si>
    <t>E35</t>
  </si>
  <si>
    <t>E36</t>
  </si>
  <si>
    <t>E37</t>
  </si>
  <si>
    <t>E38</t>
  </si>
  <si>
    <t>E39</t>
  </si>
  <si>
    <t>FC</t>
  </si>
  <si>
    <t>F6</t>
  </si>
  <si>
    <t>F7</t>
  </si>
  <si>
    <t>F10</t>
  </si>
  <si>
    <t>F12</t>
  </si>
  <si>
    <t>F13</t>
  </si>
  <si>
    <t>F14</t>
  </si>
  <si>
    <t>F15</t>
  </si>
  <si>
    <t>F16</t>
  </si>
  <si>
    <t>F21</t>
  </si>
  <si>
    <t>F26</t>
  </si>
  <si>
    <t>F28</t>
  </si>
  <si>
    <t>F30</t>
  </si>
  <si>
    <t>F32</t>
  </si>
  <si>
    <t>F33</t>
  </si>
  <si>
    <t>Combo.row</t>
  </si>
  <si>
    <t>Row</t>
  </si>
  <si>
    <t>Selection.Regime</t>
  </si>
  <si>
    <t>Reg.Line</t>
  </si>
  <si>
    <t>Line.Rep</t>
  </si>
  <si>
    <t>Day</t>
  </si>
  <si>
    <t>Image.ID.Ram</t>
  </si>
  <si>
    <t>Mean.Ryan</t>
  </si>
  <si>
    <t>Image.ID</t>
  </si>
  <si>
    <t>Percentcover.Ryan</t>
  </si>
  <si>
    <t>Synccheckryan</t>
  </si>
  <si>
    <t>Area.Ram</t>
  </si>
  <si>
    <t>Mean.Ram</t>
  </si>
  <si>
    <t>Synccheckram</t>
  </si>
  <si>
    <t>Image.ID.Kris</t>
  </si>
  <si>
    <t>Percentcover.Ram</t>
  </si>
  <si>
    <t>Sperm.presence</t>
  </si>
  <si>
    <t>Mean.Kris</t>
  </si>
  <si>
    <t>Median.Kris</t>
  </si>
  <si>
    <t>Perccover.Kris</t>
  </si>
  <si>
    <t>Mean.Mean</t>
  </si>
  <si>
    <t>Mean.Perccover</t>
  </si>
  <si>
    <t>Mean.Perccover.Absence.Correction</t>
  </si>
  <si>
    <t>Male.Bias</t>
  </si>
  <si>
    <t>MA13</t>
  </si>
  <si>
    <t>F6_10X</t>
  </si>
  <si>
    <t>Fem.Bias</t>
  </si>
  <si>
    <t>FA41</t>
  </si>
  <si>
    <t>F11</t>
  </si>
  <si>
    <t>F11_10X</t>
  </si>
  <si>
    <t>FA33</t>
  </si>
  <si>
    <t>F17</t>
  </si>
  <si>
    <t>F17_10X</t>
  </si>
  <si>
    <t>MC37</t>
  </si>
  <si>
    <t>F20</t>
  </si>
  <si>
    <t>F20_10X</t>
  </si>
  <si>
    <t>MC25</t>
  </si>
  <si>
    <t>F21_10X</t>
  </si>
  <si>
    <t>FC30</t>
  </si>
  <si>
    <t>F22</t>
  </si>
  <si>
    <t>F22_10X</t>
  </si>
  <si>
    <t>FC17</t>
  </si>
  <si>
    <t>F23</t>
  </si>
  <si>
    <t>F23_10X</t>
  </si>
  <si>
    <t>MC35</t>
  </si>
  <si>
    <t>F30_10X</t>
  </si>
  <si>
    <t>MB32A</t>
  </si>
  <si>
    <t>F33_10X</t>
  </si>
  <si>
    <t>FC34</t>
  </si>
  <si>
    <t>F34</t>
  </si>
  <si>
    <t>F34_10X</t>
  </si>
  <si>
    <t>FC26</t>
  </si>
  <si>
    <t>F36</t>
  </si>
  <si>
    <t>F36_10X</t>
  </si>
  <si>
    <t>MC34</t>
  </si>
  <si>
    <t>F37</t>
  </si>
  <si>
    <t>F37_10X</t>
  </si>
  <si>
    <t>FB13</t>
  </si>
  <si>
    <t>F47</t>
  </si>
  <si>
    <t>F47_10X</t>
  </si>
  <si>
    <t>MA26</t>
  </si>
  <si>
    <t>F56</t>
  </si>
  <si>
    <t>F56_10X</t>
  </si>
  <si>
    <t>FA12</t>
  </si>
  <si>
    <t>F58</t>
  </si>
  <si>
    <t>F58_10X</t>
  </si>
  <si>
    <t>MA29</t>
  </si>
  <si>
    <t>F67</t>
  </si>
  <si>
    <t>F67_10X</t>
  </si>
  <si>
    <t>FB24</t>
  </si>
  <si>
    <t>F69</t>
  </si>
  <si>
    <t>F69_10X</t>
  </si>
  <si>
    <t>MB5</t>
  </si>
  <si>
    <t>F70</t>
  </si>
  <si>
    <t>F70_10X</t>
  </si>
  <si>
    <t>FA4</t>
  </si>
  <si>
    <t>F74</t>
  </si>
  <si>
    <t>F74_10X</t>
  </si>
  <si>
    <t>MA43</t>
  </si>
  <si>
    <t>F75</t>
  </si>
  <si>
    <t>F75_10X</t>
  </si>
  <si>
    <t>FA6</t>
  </si>
  <si>
    <t>F79</t>
  </si>
  <si>
    <t>F79_10X</t>
  </si>
  <si>
    <t>MA35</t>
  </si>
  <si>
    <t>F85</t>
  </si>
  <si>
    <t>F85_10X</t>
  </si>
  <si>
    <t>FA21</t>
  </si>
  <si>
    <t>F90</t>
  </si>
  <si>
    <t>F90_10X</t>
  </si>
  <si>
    <t>FB40</t>
  </si>
  <si>
    <t>F95</t>
  </si>
  <si>
    <t>F95_10X</t>
  </si>
  <si>
    <t>MB40</t>
  </si>
  <si>
    <t>F96</t>
  </si>
  <si>
    <t>F96_10X</t>
  </si>
  <si>
    <t>MC24</t>
  </si>
  <si>
    <t>F97</t>
  </si>
  <si>
    <t>F97_10X</t>
  </si>
  <si>
    <t>FB29</t>
  </si>
  <si>
    <t>F101</t>
  </si>
  <si>
    <t>1.47E-04</t>
  </si>
  <si>
    <t>F101_10X</t>
  </si>
  <si>
    <t>FB12</t>
  </si>
  <si>
    <t>F105</t>
  </si>
  <si>
    <t>F105_10X</t>
  </si>
  <si>
    <t>FB17</t>
  </si>
  <si>
    <t>F111</t>
  </si>
  <si>
    <t>F111_10X</t>
  </si>
  <si>
    <t>FA22</t>
  </si>
  <si>
    <t>F119</t>
  </si>
  <si>
    <t>F119_10X</t>
  </si>
  <si>
    <t>MB32B</t>
  </si>
  <si>
    <t>F123</t>
  </si>
  <si>
    <t>F123_10X</t>
  </si>
  <si>
    <t>FB9</t>
  </si>
  <si>
    <t>F125</t>
  </si>
  <si>
    <t>F125_10X</t>
  </si>
  <si>
    <t>MC33</t>
  </si>
  <si>
    <t>F133</t>
  </si>
  <si>
    <t>F133_10X</t>
  </si>
  <si>
    <t>FB31</t>
  </si>
  <si>
    <t>F138</t>
  </si>
  <si>
    <t>6.00E-04</t>
  </si>
  <si>
    <t>F138_10X</t>
  </si>
  <si>
    <t>MA42</t>
  </si>
  <si>
    <t>F139</t>
  </si>
  <si>
    <t>F139_10X</t>
  </si>
  <si>
    <t>FC8</t>
  </si>
  <si>
    <t>F150</t>
  </si>
  <si>
    <t>F150_10X</t>
  </si>
  <si>
    <t>FC41</t>
  </si>
  <si>
    <t>F152</t>
  </si>
  <si>
    <t>F152_10X</t>
  </si>
  <si>
    <t>MB20A</t>
  </si>
  <si>
    <t>F153A</t>
  </si>
  <si>
    <t>F153</t>
  </si>
  <si>
    <t>F153_10X</t>
  </si>
  <si>
    <t>MB20B</t>
  </si>
  <si>
    <t>F153B</t>
  </si>
  <si>
    <t>MB38</t>
  </si>
  <si>
    <t>F155</t>
  </si>
  <si>
    <t>F155_10X</t>
  </si>
  <si>
    <t>FB23</t>
  </si>
  <si>
    <t>F157</t>
  </si>
  <si>
    <t>F157_10X</t>
  </si>
  <si>
    <t>MA47</t>
  </si>
  <si>
    <t>F160</t>
  </si>
  <si>
    <t>F160_10X</t>
  </si>
  <si>
    <t>MB19</t>
  </si>
  <si>
    <t>F162</t>
  </si>
  <si>
    <t>F162_10X</t>
  </si>
  <si>
    <t>FB18</t>
  </si>
  <si>
    <t>F163</t>
  </si>
  <si>
    <t>2.65E-04</t>
  </si>
  <si>
    <t>F163_10X</t>
  </si>
  <si>
    <t>FC39</t>
  </si>
  <si>
    <t>F164</t>
  </si>
  <si>
    <t>F164_10X</t>
  </si>
  <si>
    <t>MA48</t>
  </si>
  <si>
    <t>F166</t>
  </si>
  <si>
    <t>F166_10X</t>
  </si>
  <si>
    <t>MA27</t>
  </si>
  <si>
    <t>F174</t>
  </si>
  <si>
    <t>F174_10X</t>
  </si>
  <si>
    <t>MB13</t>
  </si>
  <si>
    <t>F176</t>
  </si>
  <si>
    <t>F176_10X</t>
  </si>
  <si>
    <t>FC38</t>
  </si>
  <si>
    <t>F182</t>
  </si>
  <si>
    <t>F182_10X</t>
  </si>
  <si>
    <t>MB23</t>
  </si>
  <si>
    <t>F190</t>
  </si>
  <si>
    <t>F190_10X</t>
  </si>
  <si>
    <t>MA8</t>
  </si>
  <si>
    <t>F199</t>
  </si>
  <si>
    <t>F199_10X</t>
  </si>
  <si>
    <t>FA32</t>
  </si>
  <si>
    <t>F208</t>
  </si>
  <si>
    <t>F208_10X</t>
  </si>
  <si>
    <t>FA15</t>
  </si>
  <si>
    <t>F209</t>
  </si>
  <si>
    <t>F209_10X</t>
  </si>
  <si>
    <t>MB34</t>
  </si>
  <si>
    <t>F216</t>
  </si>
  <si>
    <t>F216_10X</t>
  </si>
  <si>
    <t>FA30</t>
  </si>
  <si>
    <t>F220</t>
  </si>
  <si>
    <t>F220_10X</t>
  </si>
  <si>
    <t>MC14</t>
  </si>
  <si>
    <t>F221</t>
  </si>
  <si>
    <t>F221_10X</t>
  </si>
  <si>
    <t>FB27</t>
  </si>
  <si>
    <t>F222</t>
  </si>
  <si>
    <t>6.74E-04</t>
  </si>
  <si>
    <t>F222_10X</t>
  </si>
  <si>
    <t>MB22</t>
  </si>
  <si>
    <t>F223</t>
  </si>
  <si>
    <t>F223_10X</t>
  </si>
  <si>
    <t>FC23</t>
  </si>
  <si>
    <t>F228</t>
  </si>
  <si>
    <t>3.23E-04</t>
  </si>
  <si>
    <t>F228_10X</t>
  </si>
  <si>
    <t>MA138</t>
  </si>
  <si>
    <t>MB140</t>
  </si>
  <si>
    <t>MC143</t>
  </si>
  <si>
    <t>MA147</t>
  </si>
  <si>
    <t>MA148</t>
  </si>
  <si>
    <t>MB149</t>
  </si>
  <si>
    <t>MA154</t>
  </si>
  <si>
    <t>MB156</t>
  </si>
  <si>
    <t>MC158</t>
  </si>
  <si>
    <t>MC159</t>
  </si>
  <si>
    <t>MA160</t>
  </si>
  <si>
    <t>FB172</t>
  </si>
  <si>
    <t>FC173</t>
  </si>
  <si>
    <t>FA174</t>
  </si>
  <si>
    <t>FC179</t>
  </si>
  <si>
    <t>FB195</t>
  </si>
  <si>
    <t>FA200</t>
  </si>
  <si>
    <t>FA202</t>
  </si>
  <si>
    <t>FC203</t>
  </si>
  <si>
    <t>FB204</t>
  </si>
  <si>
    <t>FB205</t>
  </si>
  <si>
    <t>FA206</t>
  </si>
  <si>
    <t>Offspring</t>
  </si>
  <si>
    <t>Production</t>
  </si>
  <si>
    <t>160d</t>
  </si>
  <si>
    <t>Figure 6A</t>
  </si>
  <si>
    <t>Figure 6B</t>
  </si>
  <si>
    <t>Line (M= male, F=female)</t>
  </si>
  <si>
    <t>Mean % of Numbers over both laying periods</t>
  </si>
  <si>
    <t>%Fem who produced no hybrids</t>
  </si>
  <si>
    <t>Conspec</t>
  </si>
  <si>
    <t>Line Means</t>
  </si>
  <si>
    <t>Mean of Numbers</t>
  </si>
  <si>
    <t>P2 BLOCK 1</t>
  </si>
  <si>
    <t>P2 BLOCK 2</t>
  </si>
  <si>
    <t>Offspring Count</t>
  </si>
  <si>
    <t>Conspecific</t>
  </si>
  <si>
    <t>Hybrid</t>
  </si>
  <si>
    <t>Total</t>
  </si>
  <si>
    <t>Prop Con</t>
  </si>
  <si>
    <t>Prop Hyb</t>
  </si>
  <si>
    <t>Raw Data</t>
  </si>
  <si>
    <t>Figure 7</t>
  </si>
  <si>
    <t>Figure 7B</t>
  </si>
  <si>
    <t>Figure 7A</t>
  </si>
  <si>
    <t>The evolution of complex female sperm-storage organs</t>
  </si>
  <si>
    <t>Title: The evolution of complex female sperm-storage organs</t>
  </si>
  <si>
    <t>Corresponding author(s): [D.J. Hosken, d.j.hosken@exeter.ac.uk &amp; R. Vasudeva, r.vasudeva@exeter.ac.uk]</t>
  </si>
  <si>
    <t>Selection regime (MaleBias, FemBias)</t>
  </si>
  <si>
    <t>Replicate selection line (MA, MB, MC, FA, FB, FC)</t>
  </si>
  <si>
    <t>Replicate/individual number within line (1–17)</t>
  </si>
  <si>
    <t>Replicate/individual number within line</t>
  </si>
  <si>
    <t>Timepoint/duration of offspring production assay (160d = 160 days)</t>
  </si>
  <si>
    <t>Timepoint/duration of offspring production assay (e.g.160d = 160 days)</t>
  </si>
  <si>
    <t>README</t>
  </si>
  <si>
    <r>
      <t>Authors:</t>
    </r>
    <r>
      <rPr>
        <sz val="12"/>
        <color theme="1"/>
        <rFont val="Aptos"/>
      </rPr>
      <t xml:space="preserve"> Ramakrishnan Vasudeva</t>
    </r>
    <r>
      <rPr>
        <vertAlign val="superscript"/>
        <sz val="12"/>
        <color theme="1"/>
        <rFont val="Aptos"/>
      </rPr>
      <t>1</t>
    </r>
    <r>
      <rPr>
        <sz val="12"/>
        <color theme="1"/>
        <rFont val="Aptos"/>
      </rPr>
      <t>, Kris Sales</t>
    </r>
    <r>
      <rPr>
        <vertAlign val="superscript"/>
        <sz val="12"/>
        <color theme="1"/>
        <rFont val="Aptos"/>
      </rPr>
      <t>2</t>
    </r>
    <r>
      <rPr>
        <sz val="12"/>
        <color theme="1"/>
        <rFont val="Aptos"/>
      </rPr>
      <t>, Ryan Brock</t>
    </r>
    <r>
      <rPr>
        <vertAlign val="superscript"/>
        <sz val="12"/>
        <color theme="1"/>
        <rFont val="Aptos"/>
      </rPr>
      <t>3</t>
    </r>
    <r>
      <rPr>
        <sz val="12"/>
        <color theme="1"/>
        <rFont val="Aptos"/>
      </rPr>
      <t>, Kayleigh Goddard</t>
    </r>
    <r>
      <rPr>
        <vertAlign val="superscript"/>
        <sz val="12"/>
        <color theme="1"/>
        <rFont val="Aptos"/>
      </rPr>
      <t>4</t>
    </r>
    <r>
      <rPr>
        <sz val="12"/>
        <color theme="1"/>
        <rFont val="Aptos"/>
      </rPr>
      <t>, Nadine Eggleton, Alyson J. Lumley, Andrew C. Matthews</t>
    </r>
    <r>
      <rPr>
        <vertAlign val="superscript"/>
        <sz val="12"/>
        <color theme="1"/>
        <rFont val="Aptos"/>
      </rPr>
      <t>1</t>
    </r>
    <r>
      <rPr>
        <sz val="12"/>
        <color theme="1"/>
        <rFont val="Aptos"/>
      </rPr>
      <t>, Matthew J. G. Gage</t>
    </r>
    <r>
      <rPr>
        <vertAlign val="superscript"/>
        <sz val="12"/>
        <color theme="1"/>
        <rFont val="Aptos"/>
      </rPr>
      <t>†</t>
    </r>
    <r>
      <rPr>
        <sz val="12"/>
        <color theme="1"/>
        <rFont val="Aptos"/>
      </rPr>
      <t>, Tanya M. Pennell</t>
    </r>
    <r>
      <rPr>
        <vertAlign val="superscript"/>
        <sz val="12"/>
        <color theme="1"/>
        <rFont val="Aptos"/>
      </rPr>
      <t>1</t>
    </r>
    <r>
      <rPr>
        <sz val="12"/>
        <color theme="1"/>
        <rFont val="Aptos"/>
      </rPr>
      <t>, Manmohan D. Sharma</t>
    </r>
    <r>
      <rPr>
        <vertAlign val="superscript"/>
        <sz val="12"/>
        <color theme="1"/>
        <rFont val="Aptos"/>
      </rPr>
      <t>1</t>
    </r>
    <r>
      <rPr>
        <sz val="12"/>
        <color theme="1"/>
        <rFont val="Aptos"/>
      </rPr>
      <t xml:space="preserve"> &amp; David J. Hosken</t>
    </r>
    <r>
      <rPr>
        <vertAlign val="superscript"/>
        <sz val="12"/>
        <color theme="1"/>
        <rFont val="Aptos"/>
      </rPr>
      <t>1</t>
    </r>
  </si>
  <si>
    <r>
      <t>Affiliations:</t>
    </r>
    <r>
      <rPr>
        <sz val="12"/>
        <color theme="1"/>
        <rFont val="Aptos"/>
      </rPr>
      <t xml:space="preserve"> - </t>
    </r>
    <r>
      <rPr>
        <vertAlign val="superscript"/>
        <sz val="12"/>
        <color theme="1"/>
        <rFont val="Aptos"/>
      </rPr>
      <t>1</t>
    </r>
    <r>
      <rPr>
        <sz val="12"/>
        <color theme="1"/>
        <rFont val="Aptos"/>
      </rPr>
      <t xml:space="preserve">Centre for Ecology &amp; Conservation, University of Exeter, Penryn, Cornwall, UK, TR10 9EZ; </t>
    </r>
    <r>
      <rPr>
        <vertAlign val="superscript"/>
        <sz val="12"/>
        <color theme="1"/>
        <rFont val="Aptos"/>
      </rPr>
      <t>2</t>
    </r>
    <r>
      <rPr>
        <sz val="12"/>
        <color theme="1"/>
        <rFont val="Aptos"/>
      </rPr>
      <t xml:space="preserve">Forest Research, Alice Holt Lodge, Farnham, Surrey GU10 4LH, United Kingdom; </t>
    </r>
    <r>
      <rPr>
        <vertAlign val="superscript"/>
        <sz val="12"/>
        <color theme="1"/>
        <rFont val="Aptos"/>
      </rPr>
      <t>3</t>
    </r>
    <r>
      <rPr>
        <sz val="12"/>
        <color theme="1"/>
        <rFont val="Aptos"/>
      </rPr>
      <t xml:space="preserve">IOME - Fachbereich Biologie, Johannes Gutenberg-Universität Mainz, 55128 Mainz; </t>
    </r>
    <r>
      <rPr>
        <vertAlign val="superscript"/>
        <sz val="12"/>
        <color theme="1"/>
        <rFont val="Aptos"/>
      </rPr>
      <t>4</t>
    </r>
    <r>
      <rPr>
        <sz val="12"/>
        <color theme="1"/>
        <rFont val="Aptos"/>
      </rPr>
      <t>School of Biological Sciences, University of East Anglia, Norwich Research Park, Norwich, UK, NR4 7TJ</t>
    </r>
  </si>
  <si>
    <r>
      <t>†</t>
    </r>
    <r>
      <rPr>
        <i/>
        <sz val="12"/>
        <color theme="1"/>
        <rFont val="Aptos"/>
      </rPr>
      <t>deceased</t>
    </r>
  </si>
  <si>
    <r>
      <t>Study species:</t>
    </r>
    <r>
      <rPr>
        <sz val="12"/>
        <color theme="1"/>
        <rFont val="Aptos"/>
      </rPr>
      <t xml:space="preserve"> </t>
    </r>
    <r>
      <rPr>
        <i/>
        <sz val="12"/>
        <color theme="1"/>
        <rFont val="Aptos"/>
      </rPr>
      <t>Tribolium castaneum</t>
    </r>
    <r>
      <rPr>
        <sz val="12"/>
        <color theme="1"/>
        <rFont val="Aptos"/>
      </rPr>
      <t xml:space="preserve"> (the red flour beetle)</t>
    </r>
  </si>
  <si>
    <r>
      <t>Funding:</t>
    </r>
    <r>
      <rPr>
        <sz val="12"/>
        <color theme="1"/>
        <rFont val="Aptos"/>
      </rPr>
      <t xml:space="preserve"> [RV: Commonwealth Rutherford Fellowship; INRF (award number: INRF-2017-254) &amp; DJH: Leverhulme Trust (Grant number: RPG-2024-330)]</t>
    </r>
  </si>
  <si>
    <t>General overview</t>
  </si>
  <si>
    <r>
      <t>This dataset accompanies the manuscript “</t>
    </r>
    <r>
      <rPr>
        <i/>
        <sz val="12"/>
        <color theme="1"/>
        <rFont val="Aptos"/>
      </rPr>
      <t>The evolution of complex female sperm-storage organs</t>
    </r>
    <r>
      <rPr>
        <sz val="12"/>
        <color theme="1"/>
        <rFont val="Aptos"/>
      </rPr>
      <t xml:space="preserve">” It contains phenotypic, reproductive, and imaging data from experimental evolution lines of </t>
    </r>
    <r>
      <rPr>
        <i/>
        <sz val="12"/>
        <color theme="1"/>
        <rFont val="Aptos"/>
      </rPr>
      <t>T. castaneum</t>
    </r>
    <r>
      <rPr>
        <sz val="12"/>
        <color theme="1"/>
        <rFont val="Aptos"/>
      </rPr>
      <t xml:space="preserve"> maintained under contrasting sex ratio treatments, together with associated sperm-storage (spermathecal) morphology, sperm-depletion, sperm-competition (P</t>
    </r>
    <r>
      <rPr>
        <vertAlign val="subscript"/>
        <sz val="12"/>
        <color theme="1"/>
        <rFont val="Aptos"/>
      </rPr>
      <t>2</t>
    </r>
    <r>
      <rPr>
        <sz val="12"/>
        <color theme="1"/>
        <rFont val="Aptos"/>
      </rPr>
      <t xml:space="preserve"> paternity share), and interspecific hybridization assays to estimate spermathecal (sperm storage organ) complexity.</t>
    </r>
  </si>
  <si>
    <t>Experimental evolution lines</t>
  </si>
  <si>
    <t>Populations were maintained under one of two treatments for &gt;90 generations, each replicated as three independent lines:</t>
  </si>
  <si>
    <t>Code</t>
  </si>
  <si>
    <t>Regime</t>
  </si>
  <si>
    <t>Replicate lines</t>
  </si>
  <si>
    <t>Male-biased (“MaleBias” / “Male.Bias”)</t>
  </si>
  <si>
    <t>Female-biased sex ratio creating intense male–male competition for mates</t>
  </si>
  <si>
    <t>MA, MB, MC</t>
  </si>
  <si>
    <t>Female-biased (“FemBias” / “Fem.Bias”)</t>
  </si>
  <si>
    <t>Male-biased sex ratio, reduced male–male competition (relaxed sexual selection)</t>
  </si>
  <si>
    <t>FA, FB, FC</t>
  </si>
  <si>
    <t>Line codes (e.g., “A”, “B”,“MA13”, “FC30”) combine the selection-line identifier with an individual/replicate number.</t>
  </si>
  <si>
    <t>General notes applicable to all files</t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</si>
  <si>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</rPr>
      <t>Missing/blank cells indicate no data recorded, escapee or deaths for that observation (see per-file notes for any file-specific reasons, e.g., camera/image failure, trailing blank rows from spreadsheet formatting).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</si>
  <si>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</rPr>
      <t xml:space="preserve">Body size was measured as </t>
    </r>
    <r>
      <rPr>
        <b/>
        <sz val="12"/>
        <color theme="1"/>
        <rFont val="Aptos"/>
      </rPr>
      <t>elytra length (mm)</t>
    </r>
    <r>
      <rPr>
        <sz val="12"/>
        <color theme="1"/>
        <rFont val="Aptos"/>
      </rPr>
      <t xml:space="preserve"> unless otherwise specified.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</si>
  <si>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</rPr>
      <t>All files are plain-text comma-separated values (.csv) except one Excel workbook (.xlsx, single sheet), openable in any spreadsheet or statistical software.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</si>
  <si>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</rPr>
      <t>Figure references (e.g., “Fig_2A”) in file names indicate the main-text or supplementary figure each dataset was used to generate.</t>
    </r>
  </si>
  <si>
    <t>File-by-file description</t>
  </si>
  <si>
    <t>Egg and offspring output data used to assess female sperm limitation (“sperm shortage”) 6 days after a single mating, used to generate Fig. 2A.</t>
  </si>
  <si>
    <t>Column</t>
  </si>
  <si>
    <t>Description</t>
  </si>
  <si>
    <t>Experimental block/replicate number (1–4)</t>
  </si>
  <si>
    <t>Total number of offspring (adults eclosing) produced from those eggs</t>
  </si>
  <si>
    <t>Number of females contributing to that block (n = 20 per block)</t>
  </si>
  <si>
    <t>Offspring counts from sequential matings used to characterize male sperm depletion across successive matings, used to generate Fig. 2B.</t>
  </si>
  <si>
    <t>Identifier of the focal male (N=7)</t>
  </si>
  <si>
    <t>Number of offspring produced from that mating</t>
  </si>
  <si>
    <t>Identity of the female mated (F1–F4, i.e., mating order/sequence 1st–4th female mated to that male)</t>
  </si>
  <si>
    <t>Offspring counts from (B1+B2)</t>
  </si>
  <si>
    <t>Spermathecal tubule counts from a general/baseline (non-selection-line) population, used as part of Fig. 4.</t>
  </si>
  <si>
    <t>Population/treatment code (GA1 = general/baseline stock population)</t>
  </si>
  <si>
    <t>Individual female identifier (1–30)</t>
  </si>
  <si>
    <t>Number of spermathecal tubules counted for that female (measure of sperm-storage organ complexity)</t>
  </si>
  <si>
    <t>Mating status of the female at dissection (Non-Virgins = previously mated)</t>
  </si>
  <si>
    <t>Body size measurement (mm)</t>
  </si>
  <si>
    <t>Spermathecal tubule counts from females of the male-biased and female-biased selection lines, used together with file 3 to generate Fig. 4.</t>
  </si>
  <si>
    <t>Individual female identifier (line code + replicate, e.g., A1)</t>
  </si>
  <si>
    <t>Number of spermathecal tubules counted</t>
  </si>
  <si>
    <t>Image-quantification data from spermathecae of females mated to GFP-sperm-tagged males, assessing sperm storage 10 days post-mating via fluorescence microscopy, used to generate Fig. 5. Multiple observers (Ryan, Ram, Kris) independently scored the same images; columns are labelled accordingly for cross-observer comparison/reliability checks. Rows 82–144 are blank (spreadsheet formatting artifact with no associated data).</t>
  </si>
  <si>
    <t>Combo.row / Row</t>
  </si>
  <si>
    <t>Row/observation index</t>
  </si>
  <si>
    <t>Selection regime of the male whose sperm was tagged (Male.Bias, Fem.Bias)</t>
  </si>
  <si>
    <t>Replicate line code (MA, MB, MC, FA, FB, FC)</t>
  </si>
  <si>
    <t>Individual/replicate identifier within line</t>
  </si>
  <si>
    <t>Days post-mating at which spermatheca was imaged (10)</t>
  </si>
  <si>
    <t>Image.ID.Ram / Image.ID / Image.ID.Ram.1 / Image.ID.Kris</t>
  </si>
  <si>
    <t>Image file identifiers used by each observer/analysis pass</t>
  </si>
  <si>
    <t>Mean.Ryan / Mean.Ram / Mean.Kris</t>
  </si>
  <si>
    <t>Mean fluorescence intensity of GFP-tagged sperm scored by each observer</t>
  </si>
  <si>
    <t>Percentcover.Ryan / Percentcover.Ram / Perccover.Kris</t>
  </si>
  <si>
    <t>Percentage of the spermathecal image area covered by fluorescent (GFP+) sperm, scored by each observer</t>
  </si>
  <si>
    <t>Synccheckryan / Synccheckram</t>
  </si>
  <si>
    <t>Synchronization/quality-control flag confirming image identity matched across observers (1 = matched)</t>
  </si>
  <si>
    <t>Area (pixels) of spermatheca/sperm signal measured</t>
  </si>
  <si>
    <t>Binary indicator of whether GFP+ sperm was detected in the image (1 = present, 0 = absent)</t>
  </si>
  <si>
    <t>Median fluorescence intensity scored by observer Kris</t>
  </si>
  <si>
    <t>Average of the mean fluorescence values across observers</t>
  </si>
  <si>
    <t>Average percentage cover across observers</t>
  </si>
  <si>
    <t>Average percentage cover across observers, corrected to zero for images scored as sperm-absent</t>
  </si>
  <si>
    <t>Long-term offspring production (160 days post-mating) used to relate sperm storage duration/capacity to reproductive output, used to generate Fig. 6A.</t>
  </si>
  <si>
    <r>
      <t>Replicate selection line (</t>
    </r>
    <r>
      <rPr>
        <b/>
        <u/>
        <sz val="12"/>
        <color theme="1"/>
        <rFont val="Aptos"/>
      </rPr>
      <t>MA, MB, MC</t>
    </r>
    <r>
      <rPr>
        <sz val="12"/>
        <color theme="1"/>
        <rFont val="Aptos"/>
      </rPr>
      <t xml:space="preserve">, </t>
    </r>
    <r>
      <rPr>
        <b/>
        <u/>
        <sz val="12"/>
        <color theme="1"/>
        <rFont val="Aptos"/>
      </rPr>
      <t>FA, FB, FC</t>
    </r>
    <r>
      <rPr>
        <sz val="12"/>
        <color theme="1"/>
        <rFont val="Aptos"/>
      </rPr>
      <t>)</t>
    </r>
  </si>
  <si>
    <t>Total number of offspring produced by that female over the assay period</t>
  </si>
  <si>
    <t>Individual female identifier</t>
  </si>
  <si>
    <t>Long-format dataset combining offspring output with spermathecal tubule number and body size for individual females from all six selection lines, used to generate Fig. 6B.</t>
  </si>
  <si>
    <t>Total offspring produced by that female</t>
  </si>
  <si>
    <t>Number of spermathecal tubules</t>
  </si>
  <si>
    <t>Line-level summary (means) of tubule-number “extremes” (low- vs high-complexity spermathecae) contrasted against offspring production, paternity share, and sperm-storage fluorescence, used to generate Fig. 6B. Single sheet (“Sheet1”).</t>
  </si>
  <si>
    <t>Number</t>
  </si>
  <si>
    <t>Row index (1–6, one row per selection line)</t>
  </si>
  <si>
    <t>Selection regime (Male.Bias, Female.Bias)</t>
  </si>
  <si>
    <t>Population</t>
  </si>
  <si>
    <t>Tubule.Type</t>
  </si>
  <si>
    <t>Spermathecal tubule-number category contrasted in this figure (3 = low complexity, 7 = high complexity)</t>
  </si>
  <si>
    <t>Avg_Offspring</t>
  </si>
  <si>
    <t>Mean number of offspring produced, averaged across females of that line/category</t>
  </si>
  <si>
    <r>
      <t xml:space="preserve">Second-male paternity share (P2) from conspecific (within-species, </t>
    </r>
    <r>
      <rPr>
        <i/>
        <sz val="12"/>
        <color theme="1"/>
        <rFont val="Aptos"/>
      </rPr>
      <t>T. castaneum</t>
    </r>
    <r>
      <rPr>
        <sz val="12"/>
        <color theme="1"/>
        <rFont val="Aptos"/>
      </rPr>
      <t xml:space="preserve"> × </t>
    </r>
    <r>
      <rPr>
        <i/>
        <sz val="12"/>
        <color theme="1"/>
        <rFont val="Aptos"/>
      </rPr>
      <t>T. castaneum</t>
    </r>
    <r>
      <rPr>
        <sz val="12"/>
        <color theme="1"/>
        <rFont val="Aptos"/>
      </rPr>
      <t>) double-mating sperm-competition trials, used to generate Fig. 7A.</t>
    </r>
  </si>
  <si>
    <t>Treat</t>
  </si>
  <si>
    <r>
      <t>Percentage paternity share assigned to the second (focal) conspecific male (P</t>
    </r>
    <r>
      <rPr>
        <vertAlign val="subscript"/>
        <sz val="12"/>
        <color theme="1"/>
        <rFont val="Aptos"/>
      </rPr>
      <t>2</t>
    </r>
    <r>
      <rPr>
        <sz val="12"/>
        <color theme="1"/>
        <rFont val="Aptos"/>
      </rPr>
      <t>, %)</t>
    </r>
  </si>
  <si>
    <r>
      <t xml:space="preserve">Line-level summary of the proportion of trials in which no hybrid offspring were produced, from heterospecific mating trials (presumed </t>
    </r>
    <r>
      <rPr>
        <i/>
        <sz val="12"/>
        <color theme="1"/>
        <rFont val="Aptos"/>
      </rPr>
      <t>T. castaneum</t>
    </r>
    <r>
      <rPr>
        <sz val="12"/>
        <color theme="1"/>
        <rFont val="Aptos"/>
      </rPr>
      <t xml:space="preserve"> × sister species, e.g., </t>
    </r>
    <r>
      <rPr>
        <i/>
        <sz val="12"/>
        <color theme="1"/>
        <rFont val="Aptos"/>
      </rPr>
      <t>T. freemani</t>
    </r>
    <r>
      <rPr>
        <sz val="12"/>
        <color theme="1"/>
        <rFont val="Aptos"/>
      </rPr>
      <t xml:space="preserve"> — </t>
    </r>
    <r>
      <rPr>
        <b/>
        <sz val="12"/>
        <color theme="1"/>
        <rFont val="Aptos"/>
      </rPr>
      <t>please confirm identity of the heterospecific partner</t>
    </r>
    <r>
      <rPr>
        <sz val="12"/>
        <color theme="1"/>
        <rFont val="Aptos"/>
      </rPr>
      <t>), used to generate Fig. 7B.</t>
    </r>
  </si>
  <si>
    <t>No.Hybrids_%</t>
  </si>
  <si>
    <t>Percentage of trials for that line producing zero hybrid offspring</t>
  </si>
  <si>
    <t>Data collection &amp; analysis</t>
  </si>
  <si>
    <r>
      <t xml:space="preserve">Data were collected between [2018–2022] at the University of East Anglia. Statistical analyses were performed </t>
    </r>
    <r>
      <rPr>
        <sz val="12"/>
        <color rgb="FF000000"/>
        <rFont val="Arial"/>
        <family val="2"/>
      </rPr>
      <t>using SPSS [version 29.0.2.0(20)</t>
    </r>
    <r>
      <rPr>
        <sz val="12"/>
        <color theme="1"/>
        <rFont val="Aptos"/>
      </rPr>
      <t xml:space="preserve">. R Scripts (within RStudio: </t>
    </r>
    <r>
      <rPr>
        <b/>
        <sz val="12"/>
        <color theme="1"/>
        <rFont val="Aptos"/>
      </rPr>
      <t>2026.07.1</t>
    </r>
    <r>
      <rPr>
        <sz val="12"/>
        <color theme="1"/>
        <rFont val="Aptos"/>
      </rPr>
      <t xml:space="preserve"> Build 147) for the plots (using ggplot2, </t>
    </r>
    <r>
      <rPr>
        <b/>
        <sz val="12"/>
        <color theme="1"/>
        <rFont val="Aptos"/>
      </rPr>
      <t>v 4.0.1</t>
    </r>
    <r>
      <rPr>
        <sz val="12"/>
        <color theme="1"/>
        <rFont val="Aptos"/>
      </rPr>
      <t>) are included in this submission.</t>
    </r>
  </si>
  <si>
    <t>Contact</t>
  </si>
  <si>
    <t>For questions regarding these data, please contact [corresponding author: Dr. Ramakrishnan Vasudeva; r.vasudeva@exeter.ac.uk].</t>
  </si>
  <si>
    <t>Citation</t>
  </si>
  <si>
    <t>[Full citation once accepted/DOI assigned, e.g.: Vasudeva R, Sales K, Brock R, Goddard K, Eggleton N, Lumley AJ, Matthews AC, Gage MJG, Pennell TM, Sharma MD, Hosken DJ. Data from: The evolution of complex female sperm-storage organs. PNAS. (XXXX). Dataset available at [repository/DOI].]</t>
  </si>
  <si>
    <r>
      <t xml:space="preserve">Figure 2A. </t>
    </r>
    <r>
      <rPr>
        <sz val="11"/>
        <color rgb="FF0F4761"/>
        <rFont val="Consolas"/>
        <family val="2"/>
      </rPr>
      <t>Female fertility</t>
    </r>
  </si>
  <si>
    <r>
      <t xml:space="preserve">Figure 2B. </t>
    </r>
    <r>
      <rPr>
        <sz val="11"/>
        <color rgb="FF0F4761"/>
        <rFont val="Consolas"/>
        <family val="2"/>
      </rPr>
      <t>Male Fertility</t>
    </r>
  </si>
  <si>
    <r>
      <t xml:space="preserve">Figure 4. </t>
    </r>
    <r>
      <rPr>
        <sz val="11"/>
        <color rgb="FF0F4761"/>
        <rFont val="Consolas"/>
        <family val="2"/>
      </rPr>
      <t>Tubule numbers</t>
    </r>
  </si>
  <si>
    <t>Figure 4. Tubule numbers- SS treatments</t>
  </si>
  <si>
    <t>Figure 5 Sperm stored- GFP imaging</t>
  </si>
  <si>
    <r>
      <t xml:space="preserve">Figure 6. </t>
    </r>
    <r>
      <rPr>
        <sz val="11"/>
        <color rgb="FF0F4761"/>
        <rFont val="Consolas"/>
        <family val="2"/>
      </rPr>
      <t>Offspring counts</t>
    </r>
  </si>
  <si>
    <t>Figure 6 Offspring counts (sperm stored) across extreme spermathecae tubule 3 vs. 7</t>
  </si>
  <si>
    <t>Female.Bias</t>
  </si>
  <si>
    <t>Summary for Figure 6B</t>
  </si>
  <si>
    <t>Figure 6 Offspring counts (sperm stored) across extreme spermathecae tubule 3 vs. 7 SUMMARY TABLE</t>
  </si>
  <si>
    <r>
      <t xml:space="preserve">Figure 7 </t>
    </r>
    <r>
      <rPr>
        <sz val="11"/>
        <color rgb="FF0F4761"/>
        <rFont val="Consolas"/>
        <family val="2"/>
      </rPr>
      <t>P2_Conspecific data Fig_7A</t>
    </r>
  </si>
  <si>
    <r>
      <t xml:space="preserve">Figure 7B </t>
    </r>
    <r>
      <rPr>
        <sz val="11"/>
        <color rgb="FF0F4761"/>
        <rFont val="Consolas"/>
        <family val="2"/>
      </rPr>
      <t>P2 Not producing Hybrid Offspring Fig_7B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</si>
</sst>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rgb="FF0F4761"/>
      <name val="Arial"/>
      <family val="2"/>
    </font>
    <font>
      <sz val="12"/>
      <color theme="1"/>
      <name val="Aptos"/>
    </font>
    <font>
      <b/>
      <sz val="12"/>
      <color theme="1"/>
      <name val="Aptos"/>
    </font>
    <font>
      <sz val="20"/>
      <color rgb="FF0F4761"/>
      <name val="Arial"/>
      <family val="2"/>
    </font>
    <font>
      <vertAlign val="superscript"/>
      <sz val="12"/>
      <color theme="1"/>
      <name val="Aptos"/>
    </font>
    <font>
      <i/>
      <sz val="12"/>
      <color theme="1"/>
      <name val="Aptos"/>
    </font>
    <font>
      <vertAlign val="subscript"/>
      <sz val="12"/>
      <color theme="1"/>
      <name val="Aptos"/>
    </font>
    <font>
      <sz val="14"/>
      <color rgb="FF0F4761"/>
      <name val="Aptos"/>
    </font>
    <font>
      <sz val="12"/>
      <color theme="1"/>
      <name val="Symbol"/>
      <charset val="2"/>
    </font>
    <font>
      <sz val="7"/>
      <color theme="1"/>
      <name val="Times New Roman"/>
      <family val="1"/>
    </font>
    <font>
      <sz val="11"/>
      <color rgb="FF0F4761"/>
      <name val="Consolas"/>
      <family val="2"/>
    </font>
    <font>
      <b/>
      <u/>
      <sz val="12"/>
      <color theme="1"/>
      <name val="Aptos"/>
    </font>
    <font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quotePrefix="1"/>
    <xf numFmtId="0" fontId="3" fillId="0" borderId="0" xfId="0" applyFont="1" applyAlignment="1">
      <alignment horizontal="center"/>
    </xf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4" fillId="0" borderId="3" xfId="0" applyFont="1" applyBorder="1"/>
    <xf numFmtId="0" fontId="4" fillId="0" borderId="5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8" fillId="0" borderId="0" xfId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 indent="6"/>
    </xf>
    <xf numFmtId="0" fontId="0" fillId="0" borderId="10" xfId="0" applyBorder="1"/>
    <xf numFmtId="0" fontId="19" fillId="0" borderId="10" xfId="0" applyFont="1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0</xdr:colOff>
      <xdr:row>17</xdr:row>
      <xdr:rowOff>12700</xdr:rowOff>
    </xdr:to>
    <xdr:sp macro="" textlink="">
      <xdr:nvSpPr>
        <xdr:cNvPr id="1025" name="Horizontal Line 1">
          <a:extLst>
            <a:ext uri="{FF2B5EF4-FFF2-40B4-BE49-F238E27FC236}">
              <a16:creationId xmlns:a16="http://schemas.microsoft.com/office/drawing/2014/main" id="{0CDE7D7B-25D5-8DB5-4E9E-F7873DE7EF0F}"/>
            </a:ext>
          </a:extLst>
        </xdr:cNvPr>
        <xdr:cNvSpPr>
          <a:spLocks noRot="1" noChangeAspect="1" noEditPoints="1" noChangeArrowheads="1" noChangeShapeType="1" noTextEdit="1"/>
        </xdr:cNvSpPr>
      </xdr:nvSpPr>
      <xdr:spPr bwMode="auto">
        <a:xfrm>
          <a:off x="0" y="7327900"/>
          <a:ext cx="5943600" cy="12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31</xdr:row>
      <xdr:rowOff>0</xdr:rowOff>
    </xdr:from>
    <xdr:to>
      <xdr:col>2</xdr:col>
      <xdr:colOff>0</xdr:colOff>
      <xdr:row>31</xdr:row>
      <xdr:rowOff>12700</xdr:rowOff>
    </xdr:to>
    <xdr:sp macro="" textlink="">
      <xdr:nvSpPr>
        <xdr:cNvPr id="1026" name="Horizontal Line 2">
          <a:extLst>
            <a:ext uri="{FF2B5EF4-FFF2-40B4-BE49-F238E27FC236}">
              <a16:creationId xmlns:a16="http://schemas.microsoft.com/office/drawing/2014/main" id="{195F18F2-3742-2496-86E0-F1841460E51F}"/>
            </a:ext>
          </a:extLst>
        </xdr:cNvPr>
        <xdr:cNvSpPr>
          <a:spLocks noRot="1" noChangeAspect="1" noEditPoints="1" noChangeArrowheads="1" noChangeShapeType="1" noTextEdit="1"/>
        </xdr:cNvSpPr>
      </xdr:nvSpPr>
      <xdr:spPr bwMode="auto">
        <a:xfrm>
          <a:off x="0" y="13830300"/>
          <a:ext cx="5943600" cy="12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121</xdr:row>
      <xdr:rowOff>0</xdr:rowOff>
    </xdr:from>
    <xdr:to>
      <xdr:col>2</xdr:col>
      <xdr:colOff>0</xdr:colOff>
      <xdr:row>121</xdr:row>
      <xdr:rowOff>12700</xdr:rowOff>
    </xdr:to>
    <xdr:sp macro="" textlink="">
      <xdr:nvSpPr>
        <xdr:cNvPr id="1027" name="Horizontal Line 3">
          <a:extLst>
            <a:ext uri="{FF2B5EF4-FFF2-40B4-BE49-F238E27FC236}">
              <a16:creationId xmlns:a16="http://schemas.microsoft.com/office/drawing/2014/main" id="{DBB0B2AA-30B9-F05A-A559-08BA0648F4FC}"/>
            </a:ext>
          </a:extLst>
        </xdr:cNvPr>
        <xdr:cNvSpPr>
          <a:spLocks noRot="1" noChangeAspect="1" noEditPoints="1" noChangeArrowheads="1" noChangeShapeType="1" noTextEdit="1"/>
        </xdr:cNvSpPr>
      </xdr:nvSpPr>
      <xdr:spPr bwMode="auto">
        <a:xfrm>
          <a:off x="0" y="100495100"/>
          <a:ext cx="5943600" cy="12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r.vasudeva@exeter.ac.uk" TargetMode="External"/><Relationship Id="rId1" Type="http://schemas.openxmlformats.org/officeDocument/2006/relationships/hyperlink" Target="mailto:d.j.hosken@exeter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F441-6FCA-B94B-83BE-6837CC78E306}">
  <dimension ref="A1:G128"/>
  <sheetViews>
    <sheetView topLeftCell="A109" workbookViewId="0">
      <selection activeCell="A119" sqref="A119"/>
    </sheetView>
  </sheetViews>
  <sheetFormatPr baseColWidth="10" defaultRowHeight="16" x14ac:dyDescent="0.2"/>
  <cols>
    <col min="1" max="1" width="133.1640625" customWidth="1"/>
    <col min="2" max="2" width="30.5" customWidth="1"/>
    <col min="3" max="3" width="42.5" customWidth="1"/>
  </cols>
  <sheetData>
    <row r="1" spans="1:7" ht="20" x14ac:dyDescent="0.2">
      <c r="A1" s="34" t="s">
        <v>379</v>
      </c>
      <c r="B1" s="34"/>
      <c r="C1" s="34"/>
      <c r="D1" s="34"/>
      <c r="E1" s="34"/>
      <c r="F1" s="34"/>
      <c r="G1" s="34"/>
    </row>
    <row r="2" spans="1:7" x14ac:dyDescent="0.2">
      <c r="A2" s="35" t="s">
        <v>380</v>
      </c>
      <c r="B2" s="35"/>
      <c r="C2" s="35"/>
      <c r="D2" s="35"/>
      <c r="E2" s="35"/>
      <c r="F2" s="35"/>
      <c r="G2" s="35"/>
    </row>
    <row r="5" spans="1:7" ht="69" thickBot="1" x14ac:dyDescent="0.25">
      <c r="A5" s="23" t="s">
        <v>14</v>
      </c>
      <c r="B5" s="23" t="s">
        <v>381</v>
      </c>
    </row>
    <row r="6" spans="1:7" ht="85" x14ac:dyDescent="0.2">
      <c r="A6" s="24" t="s">
        <v>23</v>
      </c>
      <c r="B6" s="24" t="s">
        <v>382</v>
      </c>
    </row>
    <row r="7" spans="1:7" ht="69" thickBot="1" x14ac:dyDescent="0.25">
      <c r="A7" s="23" t="s">
        <v>24</v>
      </c>
      <c r="B7" s="23" t="s">
        <v>384</v>
      </c>
    </row>
    <row r="8" spans="1:7" ht="120" thickBot="1" x14ac:dyDescent="0.25">
      <c r="A8" s="23" t="s">
        <v>356</v>
      </c>
      <c r="B8" s="23" t="s">
        <v>386</v>
      </c>
    </row>
    <row r="10" spans="1:7" ht="25" x14ac:dyDescent="0.2">
      <c r="A10" s="25" t="s">
        <v>387</v>
      </c>
    </row>
    <row r="11" spans="1:7" ht="20" x14ac:dyDescent="0.2">
      <c r="A11" s="22" t="s">
        <v>378</v>
      </c>
    </row>
    <row r="12" spans="1:7" ht="19" x14ac:dyDescent="0.2">
      <c r="A12" s="26" t="s">
        <v>388</v>
      </c>
    </row>
    <row r="13" spans="1:7" ht="19" x14ac:dyDescent="0.2">
      <c r="A13" s="26" t="s">
        <v>389</v>
      </c>
    </row>
    <row r="14" spans="1:7" ht="19" x14ac:dyDescent="0.2">
      <c r="A14" s="27" t="s">
        <v>390</v>
      </c>
    </row>
    <row r="15" spans="1:7" x14ac:dyDescent="0.2">
      <c r="A15" s="28" t="s">
        <v>380</v>
      </c>
    </row>
    <row r="16" spans="1:7" x14ac:dyDescent="0.2">
      <c r="A16" s="26" t="s">
        <v>391</v>
      </c>
    </row>
    <row r="17" spans="1:3" x14ac:dyDescent="0.2">
      <c r="A17" s="26" t="s">
        <v>392</v>
      </c>
    </row>
    <row r="19" spans="1:3" ht="20" x14ac:dyDescent="0.2">
      <c r="A19" s="22" t="s">
        <v>393</v>
      </c>
    </row>
    <row r="20" spans="1:3" ht="18" x14ac:dyDescent="0.2">
      <c r="A20" s="29" t="s">
        <v>394</v>
      </c>
    </row>
    <row r="21" spans="1:3" ht="19" x14ac:dyDescent="0.2">
      <c r="A21" s="30" t="s">
        <v>395</v>
      </c>
    </row>
    <row r="22" spans="1:3" x14ac:dyDescent="0.2">
      <c r="A22" s="29" t="s">
        <v>396</v>
      </c>
    </row>
    <row r="23" spans="1:3" ht="35" thickBot="1" x14ac:dyDescent="0.25">
      <c r="A23" s="23" t="s">
        <v>397</v>
      </c>
      <c r="B23" s="23" t="s">
        <v>398</v>
      </c>
      <c r="C23" s="23" t="s">
        <v>399</v>
      </c>
    </row>
    <row r="24" spans="1:3" ht="51" x14ac:dyDescent="0.2">
      <c r="A24" s="24" t="s">
        <v>400</v>
      </c>
      <c r="B24" s="24" t="s">
        <v>401</v>
      </c>
      <c r="C24" s="24" t="s">
        <v>402</v>
      </c>
    </row>
    <row r="25" spans="1:3" ht="51" x14ac:dyDescent="0.2">
      <c r="A25" s="24" t="s">
        <v>403</v>
      </c>
      <c r="B25" s="24" t="s">
        <v>404</v>
      </c>
      <c r="C25" s="24" t="s">
        <v>405</v>
      </c>
    </row>
    <row r="26" spans="1:3" x14ac:dyDescent="0.2">
      <c r="A26" s="29" t="s">
        <v>406</v>
      </c>
    </row>
    <row r="27" spans="1:3" ht="19" x14ac:dyDescent="0.2">
      <c r="A27" s="30" t="s">
        <v>407</v>
      </c>
    </row>
    <row r="28" spans="1:3" x14ac:dyDescent="0.2">
      <c r="A28" s="31" t="s">
        <v>408</v>
      </c>
    </row>
    <row r="29" spans="1:3" x14ac:dyDescent="0.2">
      <c r="A29" s="31" t="s">
        <v>409</v>
      </c>
    </row>
    <row r="30" spans="1:3" x14ac:dyDescent="0.2">
      <c r="A30" s="31" t="s">
        <v>410</v>
      </c>
    </row>
    <row r="31" spans="1:3" x14ac:dyDescent="0.2">
      <c r="A31" s="31" t="s">
        <v>411</v>
      </c>
    </row>
    <row r="33" spans="1:2" ht="20" x14ac:dyDescent="0.2">
      <c r="A33" s="22" t="s">
        <v>412</v>
      </c>
    </row>
    <row r="34" spans="1:2" ht="19" x14ac:dyDescent="0.2">
      <c r="A34" s="30" t="s">
        <v>482</v>
      </c>
    </row>
    <row r="35" spans="1:2" x14ac:dyDescent="0.2">
      <c r="A35" s="29" t="s">
        <v>413</v>
      </c>
    </row>
    <row r="36" spans="1:2" ht="35" thickBot="1" x14ac:dyDescent="0.25">
      <c r="A36" s="23" t="s">
        <v>414</v>
      </c>
      <c r="B36" s="23" t="s">
        <v>415</v>
      </c>
    </row>
    <row r="37" spans="1:2" ht="34" x14ac:dyDescent="0.2">
      <c r="A37" s="24" t="s">
        <v>2</v>
      </c>
      <c r="B37" s="24" t="s">
        <v>416</v>
      </c>
    </row>
    <row r="38" spans="1:2" ht="136" x14ac:dyDescent="0.2">
      <c r="A38" s="24" t="s">
        <v>1</v>
      </c>
      <c r="B38" s="24" t="s">
        <v>417</v>
      </c>
    </row>
    <row r="39" spans="1:2" ht="119" x14ac:dyDescent="0.2">
      <c r="A39" s="24" t="s">
        <v>0</v>
      </c>
      <c r="B39" s="24" t="s">
        <v>418</v>
      </c>
    </row>
    <row r="40" spans="1:2" ht="19" x14ac:dyDescent="0.2">
      <c r="A40" s="30" t="s">
        <v>483</v>
      </c>
    </row>
    <row r="41" spans="1:2" x14ac:dyDescent="0.2">
      <c r="A41" s="29" t="s">
        <v>419</v>
      </c>
    </row>
    <row r="42" spans="1:2" ht="35" thickBot="1" x14ac:dyDescent="0.25">
      <c r="A42" s="23" t="s">
        <v>414</v>
      </c>
      <c r="B42" s="23" t="s">
        <v>415</v>
      </c>
    </row>
    <row r="43" spans="1:2" ht="51" x14ac:dyDescent="0.2">
      <c r="A43" s="24" t="s">
        <v>5</v>
      </c>
      <c r="B43" s="24" t="s">
        <v>420</v>
      </c>
    </row>
    <row r="44" spans="1:2" ht="85" x14ac:dyDescent="0.2">
      <c r="A44" s="24" t="s">
        <v>6</v>
      </c>
      <c r="B44" s="24" t="s">
        <v>421</v>
      </c>
    </row>
    <row r="45" spans="1:2" ht="85" x14ac:dyDescent="0.2">
      <c r="A45" s="24" t="s">
        <v>7</v>
      </c>
      <c r="B45" s="24" t="s">
        <v>421</v>
      </c>
    </row>
    <row r="46" spans="1:2" ht="68" x14ac:dyDescent="0.2">
      <c r="A46" s="24" t="s">
        <v>0</v>
      </c>
      <c r="B46" s="24" t="s">
        <v>422</v>
      </c>
    </row>
    <row r="47" spans="1:2" ht="68" x14ac:dyDescent="0.2">
      <c r="A47" s="24" t="s">
        <v>8</v>
      </c>
      <c r="B47" s="24" t="s">
        <v>423</v>
      </c>
    </row>
    <row r="48" spans="1:2" ht="19" x14ac:dyDescent="0.2">
      <c r="A48" s="30" t="s">
        <v>484</v>
      </c>
    </row>
    <row r="49" spans="1:2" x14ac:dyDescent="0.2">
      <c r="A49" s="29" t="s">
        <v>424</v>
      </c>
    </row>
    <row r="50" spans="1:2" ht="35" thickBot="1" x14ac:dyDescent="0.25">
      <c r="A50" s="23" t="s">
        <v>414</v>
      </c>
      <c r="B50" s="23" t="s">
        <v>415</v>
      </c>
    </row>
    <row r="51" spans="1:2" ht="153" x14ac:dyDescent="0.2">
      <c r="A51" s="24" t="s">
        <v>14</v>
      </c>
      <c r="B51" s="24" t="s">
        <v>425</v>
      </c>
    </row>
    <row r="52" spans="1:2" ht="17" x14ac:dyDescent="0.2">
      <c r="A52" s="24" t="s">
        <v>15</v>
      </c>
      <c r="B52" s="24" t="s">
        <v>426</v>
      </c>
    </row>
    <row r="53" spans="1:2" ht="204" x14ac:dyDescent="0.2">
      <c r="A53" s="24" t="s">
        <v>16</v>
      </c>
      <c r="B53" s="24" t="s">
        <v>427</v>
      </c>
    </row>
    <row r="54" spans="1:2" ht="153" x14ac:dyDescent="0.2">
      <c r="A54" s="24" t="s">
        <v>17</v>
      </c>
      <c r="B54" s="24" t="s">
        <v>428</v>
      </c>
    </row>
    <row r="55" spans="1:2" ht="51" x14ac:dyDescent="0.2">
      <c r="A55" s="24" t="s">
        <v>18</v>
      </c>
      <c r="B55" s="24" t="s">
        <v>429</v>
      </c>
    </row>
    <row r="56" spans="1:2" ht="19" x14ac:dyDescent="0.2">
      <c r="A56" s="30" t="s">
        <v>485</v>
      </c>
    </row>
    <row r="57" spans="1:2" x14ac:dyDescent="0.2">
      <c r="A57" s="29" t="s">
        <v>430</v>
      </c>
    </row>
    <row r="58" spans="1:2" ht="35" thickBot="1" x14ac:dyDescent="0.25">
      <c r="A58" s="23" t="s">
        <v>414</v>
      </c>
      <c r="B58" s="23" t="s">
        <v>415</v>
      </c>
    </row>
    <row r="59" spans="1:2" ht="68" x14ac:dyDescent="0.2">
      <c r="A59" s="24" t="s">
        <v>14</v>
      </c>
      <c r="B59" s="24" t="s">
        <v>381</v>
      </c>
    </row>
    <row r="60" spans="1:2" ht="85" x14ac:dyDescent="0.2">
      <c r="A60" s="24" t="s">
        <v>23</v>
      </c>
      <c r="B60" s="24" t="s">
        <v>382</v>
      </c>
    </row>
    <row r="61" spans="1:2" ht="34" x14ac:dyDescent="0.2">
      <c r="A61" s="24" t="s">
        <v>24</v>
      </c>
      <c r="B61" s="24" t="s">
        <v>383</v>
      </c>
    </row>
    <row r="62" spans="1:2" ht="102" x14ac:dyDescent="0.2">
      <c r="A62" s="24" t="s">
        <v>15</v>
      </c>
      <c r="B62" s="24" t="s">
        <v>431</v>
      </c>
    </row>
    <row r="63" spans="1:2" ht="68" x14ac:dyDescent="0.2">
      <c r="A63" s="24" t="s">
        <v>16</v>
      </c>
      <c r="B63" s="24" t="s">
        <v>432</v>
      </c>
    </row>
    <row r="64" spans="1:2" ht="51" x14ac:dyDescent="0.2">
      <c r="A64" s="24" t="s">
        <v>18</v>
      </c>
      <c r="B64" s="24" t="s">
        <v>429</v>
      </c>
    </row>
    <row r="65" spans="1:2" ht="19" x14ac:dyDescent="0.2">
      <c r="A65" s="30" t="s">
        <v>486</v>
      </c>
    </row>
    <row r="66" spans="1:2" x14ac:dyDescent="0.2">
      <c r="A66" s="29" t="s">
        <v>433</v>
      </c>
    </row>
    <row r="67" spans="1:2" ht="35" thickBot="1" x14ac:dyDescent="0.25">
      <c r="A67" s="23" t="s">
        <v>414</v>
      </c>
      <c r="B67" s="23" t="s">
        <v>415</v>
      </c>
    </row>
    <row r="68" spans="1:2" ht="51" x14ac:dyDescent="0.2">
      <c r="A68" s="24" t="s">
        <v>434</v>
      </c>
      <c r="B68" s="24" t="s">
        <v>435</v>
      </c>
    </row>
    <row r="69" spans="1:2" ht="136" x14ac:dyDescent="0.2">
      <c r="A69" s="24" t="s">
        <v>132</v>
      </c>
      <c r="B69" s="24" t="s">
        <v>436</v>
      </c>
    </row>
    <row r="70" spans="1:2" ht="85" x14ac:dyDescent="0.2">
      <c r="A70" s="24" t="s">
        <v>133</v>
      </c>
      <c r="B70" s="24" t="s">
        <v>437</v>
      </c>
    </row>
    <row r="71" spans="1:2" ht="68" x14ac:dyDescent="0.2">
      <c r="A71" s="24" t="s">
        <v>134</v>
      </c>
      <c r="B71" s="24" t="s">
        <v>438</v>
      </c>
    </row>
    <row r="72" spans="1:2" ht="34" x14ac:dyDescent="0.2">
      <c r="A72" s="24" t="s">
        <v>135</v>
      </c>
      <c r="B72" s="24" t="s">
        <v>439</v>
      </c>
    </row>
    <row r="73" spans="1:2" ht="119" hidden="1" x14ac:dyDescent="0.2">
      <c r="A73" s="24" t="s">
        <v>440</v>
      </c>
      <c r="B73" s="24" t="s">
        <v>441</v>
      </c>
    </row>
    <row r="74" spans="1:2" ht="170" hidden="1" x14ac:dyDescent="0.2">
      <c r="A74" s="24" t="s">
        <v>442</v>
      </c>
      <c r="B74" s="24" t="s">
        <v>443</v>
      </c>
    </row>
    <row r="75" spans="1:2" ht="204" hidden="1" x14ac:dyDescent="0.2">
      <c r="A75" s="24" t="s">
        <v>444</v>
      </c>
      <c r="B75" s="24" t="s">
        <v>445</v>
      </c>
    </row>
    <row r="76" spans="1:2" ht="204" hidden="1" x14ac:dyDescent="0.2">
      <c r="A76" s="24" t="s">
        <v>446</v>
      </c>
      <c r="B76" s="24" t="s">
        <v>447</v>
      </c>
    </row>
    <row r="77" spans="1:2" ht="102" hidden="1" x14ac:dyDescent="0.2">
      <c r="A77" s="24" t="s">
        <v>141</v>
      </c>
      <c r="B77" s="24" t="s">
        <v>448</v>
      </c>
    </row>
    <row r="78" spans="1:2" ht="170" hidden="1" x14ac:dyDescent="0.2">
      <c r="A78" s="24" t="s">
        <v>146</v>
      </c>
      <c r="B78" s="24" t="s">
        <v>449</v>
      </c>
    </row>
    <row r="79" spans="1:2" ht="119" hidden="1" x14ac:dyDescent="0.2">
      <c r="A79" s="24" t="s">
        <v>148</v>
      </c>
      <c r="B79" s="24" t="s">
        <v>450</v>
      </c>
    </row>
    <row r="80" spans="1:2" ht="34" x14ac:dyDescent="0.2">
      <c r="A80" s="24" t="s">
        <v>150</v>
      </c>
      <c r="B80" s="24" t="s">
        <v>451</v>
      </c>
    </row>
    <row r="81" spans="1:2" ht="85" x14ac:dyDescent="0.2">
      <c r="A81" s="24" t="s">
        <v>151</v>
      </c>
      <c r="B81" s="24" t="s">
        <v>452</v>
      </c>
    </row>
    <row r="82" spans="1:2" ht="187" x14ac:dyDescent="0.2">
      <c r="A82" s="24" t="s">
        <v>152</v>
      </c>
      <c r="B82" s="24" t="s">
        <v>453</v>
      </c>
    </row>
    <row r="83" spans="1:2" ht="19" x14ac:dyDescent="0.2">
      <c r="A83" s="30" t="s">
        <v>487</v>
      </c>
    </row>
    <row r="84" spans="1:2" x14ac:dyDescent="0.2">
      <c r="A84" s="29" t="s">
        <v>454</v>
      </c>
    </row>
    <row r="85" spans="1:2" ht="35" thickBot="1" x14ac:dyDescent="0.25">
      <c r="A85" s="23" t="s">
        <v>414</v>
      </c>
      <c r="B85" s="23" t="s">
        <v>415</v>
      </c>
    </row>
    <row r="86" spans="1:2" ht="68" x14ac:dyDescent="0.2">
      <c r="A86" s="24" t="s">
        <v>14</v>
      </c>
      <c r="B86" s="24" t="s">
        <v>381</v>
      </c>
    </row>
    <row r="87" spans="1:2" ht="85" x14ac:dyDescent="0.2">
      <c r="A87" s="24" t="s">
        <v>23</v>
      </c>
      <c r="B87" s="24" t="s">
        <v>455</v>
      </c>
    </row>
    <row r="88" spans="1:2" ht="68" x14ac:dyDescent="0.2">
      <c r="A88" s="24" t="s">
        <v>24</v>
      </c>
      <c r="B88" s="24" t="s">
        <v>384</v>
      </c>
    </row>
    <row r="89" spans="1:2" ht="153" x14ac:dyDescent="0.2">
      <c r="A89" s="24" t="s">
        <v>355</v>
      </c>
      <c r="B89" s="24" t="s">
        <v>456</v>
      </c>
    </row>
    <row r="90" spans="1:2" ht="51" x14ac:dyDescent="0.2">
      <c r="A90" s="24" t="s">
        <v>15</v>
      </c>
      <c r="B90" s="24" t="s">
        <v>457</v>
      </c>
    </row>
    <row r="91" spans="1:2" ht="119" x14ac:dyDescent="0.2">
      <c r="A91" s="24" t="s">
        <v>356</v>
      </c>
      <c r="B91" s="24" t="s">
        <v>385</v>
      </c>
    </row>
    <row r="92" spans="1:2" ht="19" x14ac:dyDescent="0.2">
      <c r="A92" s="30" t="s">
        <v>488</v>
      </c>
    </row>
    <row r="93" spans="1:2" x14ac:dyDescent="0.2">
      <c r="A93" s="29" t="s">
        <v>458</v>
      </c>
    </row>
    <row r="94" spans="1:2" ht="35" thickBot="1" x14ac:dyDescent="0.25">
      <c r="A94" s="23" t="s">
        <v>414</v>
      </c>
      <c r="B94" s="23" t="s">
        <v>415</v>
      </c>
    </row>
    <row r="95" spans="1:2" ht="68" x14ac:dyDescent="0.2">
      <c r="A95" s="24" t="s">
        <v>14</v>
      </c>
      <c r="B95" s="24" t="s">
        <v>381</v>
      </c>
    </row>
    <row r="96" spans="1:2" ht="85" x14ac:dyDescent="0.2">
      <c r="A96" s="24" t="s">
        <v>23</v>
      </c>
      <c r="B96" s="24" t="s">
        <v>455</v>
      </c>
    </row>
    <row r="97" spans="1:2" ht="68" x14ac:dyDescent="0.2">
      <c r="A97" s="24" t="s">
        <v>24</v>
      </c>
      <c r="B97" s="24" t="s">
        <v>384</v>
      </c>
    </row>
    <row r="98" spans="1:2" ht="85" x14ac:dyDescent="0.2">
      <c r="A98" s="24" t="s">
        <v>355</v>
      </c>
      <c r="B98" s="24" t="s">
        <v>459</v>
      </c>
    </row>
    <row r="99" spans="1:2" ht="51" x14ac:dyDescent="0.2">
      <c r="A99" s="24" t="s">
        <v>15</v>
      </c>
      <c r="B99" s="24" t="s">
        <v>457</v>
      </c>
    </row>
    <row r="100" spans="1:2" ht="51" x14ac:dyDescent="0.2">
      <c r="A100" s="24" t="s">
        <v>16</v>
      </c>
      <c r="B100" s="24" t="s">
        <v>460</v>
      </c>
    </row>
    <row r="101" spans="1:2" ht="51" x14ac:dyDescent="0.2">
      <c r="A101" s="24" t="s">
        <v>18</v>
      </c>
      <c r="B101" s="24" t="s">
        <v>429</v>
      </c>
    </row>
    <row r="102" spans="1:2" ht="19" x14ac:dyDescent="0.2">
      <c r="A102" s="30" t="s">
        <v>491</v>
      </c>
    </row>
    <row r="103" spans="1:2" x14ac:dyDescent="0.2">
      <c r="A103" s="29" t="s">
        <v>461</v>
      </c>
    </row>
    <row r="104" spans="1:2" ht="35" thickBot="1" x14ac:dyDescent="0.25">
      <c r="A104" s="23" t="s">
        <v>414</v>
      </c>
      <c r="B104" s="23" t="s">
        <v>415</v>
      </c>
    </row>
    <row r="105" spans="1:2" ht="34" x14ac:dyDescent="0.2">
      <c r="A105" s="24" t="s">
        <v>462</v>
      </c>
      <c r="B105" s="24" t="s">
        <v>463</v>
      </c>
    </row>
    <row r="106" spans="1:2" ht="85" x14ac:dyDescent="0.2">
      <c r="A106" s="24" t="s">
        <v>14</v>
      </c>
      <c r="B106" s="24" t="s">
        <v>464</v>
      </c>
    </row>
    <row r="107" spans="1:2" ht="85" x14ac:dyDescent="0.2">
      <c r="A107" s="24" t="s">
        <v>465</v>
      </c>
      <c r="B107" s="24" t="s">
        <v>382</v>
      </c>
    </row>
    <row r="108" spans="1:2" ht="204" x14ac:dyDescent="0.2">
      <c r="A108" s="24" t="s">
        <v>466</v>
      </c>
      <c r="B108" s="24" t="s">
        <v>467</v>
      </c>
    </row>
    <row r="109" spans="1:2" ht="170" x14ac:dyDescent="0.2">
      <c r="A109" s="24" t="s">
        <v>468</v>
      </c>
      <c r="B109" s="24" t="s">
        <v>469</v>
      </c>
    </row>
    <row r="110" spans="1:2" ht="19" x14ac:dyDescent="0.2">
      <c r="A110" s="30" t="s">
        <v>492</v>
      </c>
    </row>
    <row r="111" spans="1:2" x14ac:dyDescent="0.2">
      <c r="A111" s="29" t="s">
        <v>470</v>
      </c>
    </row>
    <row r="112" spans="1:2" ht="35" thickBot="1" x14ac:dyDescent="0.25">
      <c r="A112" s="23" t="s">
        <v>414</v>
      </c>
      <c r="B112" s="23" t="s">
        <v>415</v>
      </c>
    </row>
    <row r="113" spans="1:2" ht="85" x14ac:dyDescent="0.2">
      <c r="A113" s="24" t="s">
        <v>23</v>
      </c>
      <c r="B113" s="24" t="s">
        <v>382</v>
      </c>
    </row>
    <row r="114" spans="1:2" ht="85" x14ac:dyDescent="0.2">
      <c r="A114" s="24" t="s">
        <v>471</v>
      </c>
      <c r="B114" s="24" t="s">
        <v>464</v>
      </c>
    </row>
    <row r="115" spans="1:2" ht="172" x14ac:dyDescent="0.2">
      <c r="A115" s="24" t="s">
        <v>369</v>
      </c>
      <c r="B115" s="24" t="s">
        <v>472</v>
      </c>
    </row>
    <row r="116" spans="1:2" ht="19" x14ac:dyDescent="0.2">
      <c r="A116" s="30" t="s">
        <v>493</v>
      </c>
    </row>
    <row r="117" spans="1:2" x14ac:dyDescent="0.2">
      <c r="A117" s="29" t="s">
        <v>473</v>
      </c>
    </row>
    <row r="118" spans="1:2" ht="35" thickBot="1" x14ac:dyDescent="0.25">
      <c r="A118" s="23" t="s">
        <v>414</v>
      </c>
      <c r="B118" s="23" t="s">
        <v>415</v>
      </c>
    </row>
    <row r="119" spans="1:2" ht="85" x14ac:dyDescent="0.2">
      <c r="A119" s="24" t="s">
        <v>23</v>
      </c>
      <c r="B119" s="24" t="s">
        <v>382</v>
      </c>
    </row>
    <row r="120" spans="1:2" ht="85" x14ac:dyDescent="0.2">
      <c r="A120" s="24" t="s">
        <v>471</v>
      </c>
      <c r="B120" s="24" t="s">
        <v>464</v>
      </c>
    </row>
    <row r="121" spans="1:2" ht="102" x14ac:dyDescent="0.2">
      <c r="A121" s="24" t="s">
        <v>474</v>
      </c>
      <c r="B121" s="24" t="s">
        <v>475</v>
      </c>
    </row>
    <row r="123" spans="1:2" ht="20" x14ac:dyDescent="0.2">
      <c r="A123" s="22" t="s">
        <v>476</v>
      </c>
    </row>
    <row r="124" spans="1:2" x14ac:dyDescent="0.2">
      <c r="A124" s="29" t="s">
        <v>477</v>
      </c>
    </row>
    <row r="125" spans="1:2" x14ac:dyDescent="0.2">
      <c r="A125" s="29" t="s">
        <v>478</v>
      </c>
    </row>
    <row r="126" spans="1:2" x14ac:dyDescent="0.2">
      <c r="A126" s="28" t="s">
        <v>479</v>
      </c>
    </row>
    <row r="127" spans="1:2" x14ac:dyDescent="0.2">
      <c r="A127" s="29" t="s">
        <v>480</v>
      </c>
    </row>
    <row r="128" spans="1:2" x14ac:dyDescent="0.2">
      <c r="A128" s="29" t="s">
        <v>481</v>
      </c>
    </row>
  </sheetData>
  <mergeCells count="2">
    <mergeCell ref="A1:G1"/>
    <mergeCell ref="A2:G2"/>
  </mergeCells>
  <hyperlinks>
    <hyperlink ref="A15" r:id="rId1" display="mailto:d.j.hosken@exeter.ac.uk" xr:uid="{2CE17FEE-2C43-454C-960D-E8AC4CA57EB5}"/>
    <hyperlink ref="A126" r:id="rId2" display="mailto:r.vasudeva@exeter.ac.uk" xr:uid="{585A4263-197B-EC4C-8967-E6F188CF4108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42A4-1F86-DF43-BD99-F3D6DF3A11EC}">
  <dimension ref="A1:N81"/>
  <sheetViews>
    <sheetView workbookViewId="0">
      <selection activeCell="E47" sqref="E47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I1" t="s">
        <v>5</v>
      </c>
      <c r="J1" t="s">
        <v>0</v>
      </c>
      <c r="K1" t="s">
        <v>6</v>
      </c>
      <c r="L1" t="s">
        <v>7</v>
      </c>
      <c r="M1" t="s">
        <v>8</v>
      </c>
      <c r="N1" t="s">
        <v>3</v>
      </c>
    </row>
    <row r="2" spans="1:14" x14ac:dyDescent="0.2">
      <c r="A2">
        <v>1</v>
      </c>
      <c r="B2">
        <v>33</v>
      </c>
      <c r="C2">
        <v>1</v>
      </c>
      <c r="D2" t="s">
        <v>4</v>
      </c>
      <c r="I2">
        <v>3</v>
      </c>
      <c r="J2" t="s">
        <v>9</v>
      </c>
      <c r="K2">
        <v>141</v>
      </c>
      <c r="L2">
        <v>136</v>
      </c>
      <c r="M2">
        <v>277</v>
      </c>
      <c r="N2" t="s">
        <v>13</v>
      </c>
    </row>
    <row r="3" spans="1:14" x14ac:dyDescent="0.2">
      <c r="A3">
        <v>2</v>
      </c>
      <c r="B3">
        <v>33</v>
      </c>
      <c r="C3">
        <v>1</v>
      </c>
      <c r="I3">
        <v>6</v>
      </c>
      <c r="J3" t="s">
        <v>9</v>
      </c>
      <c r="K3">
        <v>113</v>
      </c>
      <c r="L3">
        <v>153</v>
      </c>
      <c r="M3">
        <v>266</v>
      </c>
    </row>
    <row r="4" spans="1:14" x14ac:dyDescent="0.2">
      <c r="A4">
        <v>81</v>
      </c>
      <c r="B4">
        <v>21</v>
      </c>
      <c r="C4">
        <v>1</v>
      </c>
      <c r="I4">
        <v>10</v>
      </c>
      <c r="J4" t="s">
        <v>9</v>
      </c>
      <c r="K4">
        <v>137</v>
      </c>
      <c r="L4">
        <v>139</v>
      </c>
      <c r="M4">
        <v>276</v>
      </c>
    </row>
    <row r="5" spans="1:14" x14ac:dyDescent="0.2">
      <c r="A5">
        <v>57</v>
      </c>
      <c r="B5">
        <v>43</v>
      </c>
      <c r="C5">
        <v>1</v>
      </c>
      <c r="I5">
        <v>18</v>
      </c>
      <c r="J5" t="s">
        <v>9</v>
      </c>
      <c r="K5">
        <v>88</v>
      </c>
      <c r="L5">
        <v>70</v>
      </c>
      <c r="M5">
        <v>158</v>
      </c>
    </row>
    <row r="6" spans="1:14" x14ac:dyDescent="0.2">
      <c r="A6">
        <v>63</v>
      </c>
      <c r="B6">
        <v>31</v>
      </c>
      <c r="C6">
        <v>1</v>
      </c>
      <c r="I6">
        <v>23</v>
      </c>
      <c r="J6" t="s">
        <v>9</v>
      </c>
      <c r="K6">
        <v>122</v>
      </c>
      <c r="L6">
        <v>149</v>
      </c>
      <c r="M6">
        <v>271</v>
      </c>
    </row>
    <row r="7" spans="1:14" x14ac:dyDescent="0.2">
      <c r="A7">
        <v>55</v>
      </c>
      <c r="B7">
        <v>6</v>
      </c>
      <c r="C7">
        <v>1</v>
      </c>
      <c r="I7">
        <v>24</v>
      </c>
      <c r="J7" t="s">
        <v>9</v>
      </c>
      <c r="K7">
        <v>105</v>
      </c>
      <c r="L7">
        <v>141</v>
      </c>
      <c r="M7">
        <v>246</v>
      </c>
    </row>
    <row r="8" spans="1:14" x14ac:dyDescent="0.2">
      <c r="A8">
        <v>82</v>
      </c>
      <c r="B8">
        <v>28</v>
      </c>
      <c r="C8">
        <v>1</v>
      </c>
      <c r="I8">
        <v>31</v>
      </c>
      <c r="J8" t="s">
        <v>9</v>
      </c>
      <c r="K8">
        <v>90</v>
      </c>
      <c r="L8">
        <v>121</v>
      </c>
      <c r="M8">
        <v>211</v>
      </c>
    </row>
    <row r="9" spans="1:14" x14ac:dyDescent="0.2">
      <c r="A9">
        <v>85</v>
      </c>
      <c r="B9">
        <v>25</v>
      </c>
      <c r="C9">
        <v>1</v>
      </c>
      <c r="I9">
        <v>3</v>
      </c>
      <c r="J9" t="s">
        <v>10</v>
      </c>
      <c r="K9">
        <v>115</v>
      </c>
      <c r="L9">
        <v>142</v>
      </c>
      <c r="M9">
        <v>257</v>
      </c>
    </row>
    <row r="10" spans="1:14" x14ac:dyDescent="0.2">
      <c r="A10">
        <v>90</v>
      </c>
      <c r="B10">
        <v>19</v>
      </c>
      <c r="C10">
        <v>1</v>
      </c>
      <c r="I10">
        <v>6</v>
      </c>
      <c r="J10" t="s">
        <v>10</v>
      </c>
      <c r="K10">
        <v>139</v>
      </c>
      <c r="L10">
        <v>61</v>
      </c>
      <c r="M10">
        <v>200</v>
      </c>
    </row>
    <row r="11" spans="1:14" x14ac:dyDescent="0.2">
      <c r="A11">
        <v>49</v>
      </c>
      <c r="B11">
        <v>2</v>
      </c>
      <c r="C11">
        <v>1</v>
      </c>
      <c r="I11">
        <v>10</v>
      </c>
      <c r="J11" t="s">
        <v>10</v>
      </c>
      <c r="K11">
        <v>103</v>
      </c>
      <c r="L11">
        <v>122</v>
      </c>
      <c r="M11">
        <v>225</v>
      </c>
    </row>
    <row r="12" spans="1:14" x14ac:dyDescent="0.2">
      <c r="A12">
        <v>78</v>
      </c>
      <c r="B12">
        <v>34</v>
      </c>
      <c r="C12">
        <v>1</v>
      </c>
      <c r="I12">
        <v>18</v>
      </c>
      <c r="J12" t="s">
        <v>10</v>
      </c>
      <c r="K12">
        <v>102</v>
      </c>
      <c r="L12">
        <v>115</v>
      </c>
      <c r="M12">
        <v>217</v>
      </c>
    </row>
    <row r="13" spans="1:14" x14ac:dyDescent="0.2">
      <c r="A13">
        <v>48</v>
      </c>
      <c r="B13">
        <v>18</v>
      </c>
      <c r="C13">
        <v>1</v>
      </c>
      <c r="I13">
        <v>23</v>
      </c>
      <c r="J13" t="s">
        <v>10</v>
      </c>
      <c r="K13">
        <v>53</v>
      </c>
      <c r="L13">
        <v>0</v>
      </c>
      <c r="M13">
        <v>53</v>
      </c>
    </row>
    <row r="14" spans="1:14" x14ac:dyDescent="0.2">
      <c r="A14">
        <v>70</v>
      </c>
      <c r="B14">
        <v>22</v>
      </c>
      <c r="C14">
        <v>1</v>
      </c>
      <c r="I14">
        <v>24</v>
      </c>
      <c r="J14" t="s">
        <v>10</v>
      </c>
      <c r="K14">
        <v>127</v>
      </c>
      <c r="L14">
        <v>130</v>
      </c>
      <c r="M14">
        <v>257</v>
      </c>
    </row>
    <row r="15" spans="1:14" x14ac:dyDescent="0.2">
      <c r="A15">
        <v>64</v>
      </c>
      <c r="B15">
        <v>45</v>
      </c>
      <c r="C15">
        <v>1</v>
      </c>
      <c r="I15">
        <v>31</v>
      </c>
      <c r="J15" t="s">
        <v>10</v>
      </c>
      <c r="K15">
        <v>168</v>
      </c>
      <c r="L15">
        <v>152</v>
      </c>
      <c r="M15">
        <v>320</v>
      </c>
    </row>
    <row r="16" spans="1:14" x14ac:dyDescent="0.2">
      <c r="A16">
        <v>89</v>
      </c>
      <c r="B16">
        <v>33</v>
      </c>
      <c r="C16">
        <v>1</v>
      </c>
      <c r="I16">
        <v>3</v>
      </c>
      <c r="J16" t="s">
        <v>11</v>
      </c>
      <c r="K16">
        <v>108</v>
      </c>
      <c r="L16">
        <v>14</v>
      </c>
      <c r="M16">
        <v>122</v>
      </c>
    </row>
    <row r="17" spans="1:13" x14ac:dyDescent="0.2">
      <c r="A17">
        <v>50</v>
      </c>
      <c r="B17">
        <v>16</v>
      </c>
      <c r="C17">
        <v>1</v>
      </c>
      <c r="I17">
        <v>6</v>
      </c>
      <c r="J17" t="s">
        <v>11</v>
      </c>
      <c r="K17">
        <v>29</v>
      </c>
      <c r="L17">
        <v>76</v>
      </c>
      <c r="M17">
        <v>105</v>
      </c>
    </row>
    <row r="18" spans="1:13" x14ac:dyDescent="0.2">
      <c r="A18">
        <v>43</v>
      </c>
      <c r="B18">
        <v>35</v>
      </c>
      <c r="C18">
        <v>1</v>
      </c>
      <c r="I18">
        <v>10</v>
      </c>
      <c r="J18" t="s">
        <v>11</v>
      </c>
      <c r="K18">
        <v>100</v>
      </c>
      <c r="L18">
        <v>106</v>
      </c>
      <c r="M18">
        <v>206</v>
      </c>
    </row>
    <row r="19" spans="1:13" x14ac:dyDescent="0.2">
      <c r="A19">
        <v>86</v>
      </c>
      <c r="B19">
        <v>26</v>
      </c>
      <c r="C19">
        <v>1</v>
      </c>
      <c r="I19">
        <v>18</v>
      </c>
      <c r="J19" t="s">
        <v>11</v>
      </c>
      <c r="K19">
        <v>96</v>
      </c>
      <c r="L19">
        <v>132</v>
      </c>
      <c r="M19">
        <v>228</v>
      </c>
    </row>
    <row r="20" spans="1:13" x14ac:dyDescent="0.2">
      <c r="A20">
        <v>67</v>
      </c>
      <c r="B20">
        <v>5</v>
      </c>
      <c r="C20">
        <v>1</v>
      </c>
      <c r="I20">
        <v>23</v>
      </c>
      <c r="J20" t="s">
        <v>11</v>
      </c>
      <c r="K20">
        <v>93</v>
      </c>
      <c r="L20">
        <v>115</v>
      </c>
      <c r="M20">
        <v>208</v>
      </c>
    </row>
    <row r="21" spans="1:13" x14ac:dyDescent="0.2">
      <c r="A21">
        <v>62</v>
      </c>
      <c r="B21">
        <v>25</v>
      </c>
      <c r="C21">
        <v>1</v>
      </c>
      <c r="I21">
        <v>24</v>
      </c>
      <c r="J21" t="s">
        <v>11</v>
      </c>
      <c r="K21">
        <v>118</v>
      </c>
      <c r="L21">
        <v>110</v>
      </c>
      <c r="M21">
        <v>228</v>
      </c>
    </row>
    <row r="22" spans="1:13" x14ac:dyDescent="0.2">
      <c r="A22">
        <v>1</v>
      </c>
      <c r="B22">
        <v>41</v>
      </c>
      <c r="C22">
        <v>2</v>
      </c>
      <c r="I22">
        <v>31</v>
      </c>
      <c r="J22" t="s">
        <v>11</v>
      </c>
      <c r="K22">
        <v>117</v>
      </c>
      <c r="L22">
        <v>143</v>
      </c>
      <c r="M22">
        <v>260</v>
      </c>
    </row>
    <row r="23" spans="1:13" x14ac:dyDescent="0.2">
      <c r="A23">
        <v>2</v>
      </c>
      <c r="B23">
        <v>37</v>
      </c>
      <c r="C23">
        <v>2</v>
      </c>
      <c r="I23">
        <v>3</v>
      </c>
      <c r="J23" t="s">
        <v>12</v>
      </c>
      <c r="K23">
        <v>95</v>
      </c>
      <c r="L23">
        <v>62</v>
      </c>
      <c r="M23">
        <v>157</v>
      </c>
    </row>
    <row r="24" spans="1:13" x14ac:dyDescent="0.2">
      <c r="A24">
        <v>81</v>
      </c>
      <c r="B24">
        <v>33</v>
      </c>
      <c r="C24">
        <v>2</v>
      </c>
      <c r="I24">
        <v>6</v>
      </c>
      <c r="J24" t="s">
        <v>12</v>
      </c>
      <c r="K24">
        <v>126</v>
      </c>
      <c r="L24">
        <v>89</v>
      </c>
      <c r="M24">
        <v>215</v>
      </c>
    </row>
    <row r="25" spans="1:13" x14ac:dyDescent="0.2">
      <c r="A25">
        <v>57</v>
      </c>
      <c r="B25">
        <v>50</v>
      </c>
      <c r="C25">
        <v>2</v>
      </c>
      <c r="I25">
        <v>10</v>
      </c>
      <c r="J25" t="s">
        <v>12</v>
      </c>
      <c r="K25">
        <v>91</v>
      </c>
      <c r="L25">
        <v>0</v>
      </c>
      <c r="M25">
        <v>91</v>
      </c>
    </row>
    <row r="26" spans="1:13" x14ac:dyDescent="0.2">
      <c r="A26">
        <v>63</v>
      </c>
      <c r="B26">
        <v>44</v>
      </c>
      <c r="C26">
        <v>2</v>
      </c>
      <c r="I26">
        <v>18</v>
      </c>
      <c r="J26" t="s">
        <v>12</v>
      </c>
      <c r="K26">
        <v>125</v>
      </c>
      <c r="L26">
        <v>109</v>
      </c>
      <c r="M26">
        <v>234</v>
      </c>
    </row>
    <row r="27" spans="1:13" x14ac:dyDescent="0.2">
      <c r="A27">
        <v>55</v>
      </c>
      <c r="B27">
        <v>33</v>
      </c>
      <c r="C27">
        <v>2</v>
      </c>
      <c r="I27">
        <v>23</v>
      </c>
      <c r="J27" t="s">
        <v>12</v>
      </c>
      <c r="K27">
        <v>90</v>
      </c>
      <c r="L27">
        <v>35</v>
      </c>
      <c r="M27">
        <v>125</v>
      </c>
    </row>
    <row r="28" spans="1:13" x14ac:dyDescent="0.2">
      <c r="A28">
        <v>82</v>
      </c>
      <c r="B28">
        <v>38</v>
      </c>
      <c r="C28">
        <v>2</v>
      </c>
      <c r="I28">
        <v>24</v>
      </c>
      <c r="J28" t="s">
        <v>12</v>
      </c>
      <c r="K28">
        <v>81</v>
      </c>
      <c r="L28">
        <v>0</v>
      </c>
      <c r="M28">
        <v>81</v>
      </c>
    </row>
    <row r="29" spans="1:13" x14ac:dyDescent="0.2">
      <c r="A29">
        <v>85</v>
      </c>
      <c r="B29">
        <v>35</v>
      </c>
      <c r="C29">
        <v>2</v>
      </c>
      <c r="I29">
        <v>31</v>
      </c>
      <c r="J29" t="s">
        <v>12</v>
      </c>
      <c r="K29">
        <v>149</v>
      </c>
      <c r="L29">
        <v>0</v>
      </c>
      <c r="M29">
        <v>149</v>
      </c>
    </row>
    <row r="30" spans="1:13" x14ac:dyDescent="0.2">
      <c r="A30">
        <v>90</v>
      </c>
      <c r="B30">
        <v>36</v>
      </c>
      <c r="C30">
        <v>2</v>
      </c>
    </row>
    <row r="31" spans="1:13" x14ac:dyDescent="0.2">
      <c r="A31">
        <v>49</v>
      </c>
      <c r="B31">
        <v>17</v>
      </c>
      <c r="C31">
        <v>2</v>
      </c>
    </row>
    <row r="32" spans="1:13" x14ac:dyDescent="0.2">
      <c r="A32">
        <v>78</v>
      </c>
      <c r="B32">
        <v>31</v>
      </c>
      <c r="C32">
        <v>2</v>
      </c>
    </row>
    <row r="33" spans="1:3" x14ac:dyDescent="0.2">
      <c r="A33">
        <v>48</v>
      </c>
      <c r="B33">
        <v>35</v>
      </c>
      <c r="C33">
        <v>2</v>
      </c>
    </row>
    <row r="34" spans="1:3" x14ac:dyDescent="0.2">
      <c r="A34">
        <v>70</v>
      </c>
      <c r="B34">
        <v>29</v>
      </c>
      <c r="C34">
        <v>2</v>
      </c>
    </row>
    <row r="35" spans="1:3" x14ac:dyDescent="0.2">
      <c r="A35">
        <v>64</v>
      </c>
      <c r="B35">
        <v>56</v>
      </c>
      <c r="C35">
        <v>2</v>
      </c>
    </row>
    <row r="36" spans="1:3" x14ac:dyDescent="0.2">
      <c r="A36">
        <v>89</v>
      </c>
      <c r="B36">
        <v>41</v>
      </c>
      <c r="C36">
        <v>2</v>
      </c>
    </row>
    <row r="37" spans="1:3" x14ac:dyDescent="0.2">
      <c r="A37">
        <v>50</v>
      </c>
      <c r="B37">
        <v>38</v>
      </c>
      <c r="C37">
        <v>2</v>
      </c>
    </row>
    <row r="38" spans="1:3" x14ac:dyDescent="0.2">
      <c r="A38">
        <v>43</v>
      </c>
      <c r="B38">
        <v>37</v>
      </c>
      <c r="C38">
        <v>2</v>
      </c>
    </row>
    <row r="39" spans="1:3" x14ac:dyDescent="0.2">
      <c r="A39">
        <v>86</v>
      </c>
      <c r="B39">
        <v>29</v>
      </c>
      <c r="C39">
        <v>2</v>
      </c>
    </row>
    <row r="40" spans="1:3" x14ac:dyDescent="0.2">
      <c r="A40">
        <v>67</v>
      </c>
      <c r="B40">
        <v>32</v>
      </c>
      <c r="C40">
        <v>2</v>
      </c>
    </row>
    <row r="41" spans="1:3" x14ac:dyDescent="0.2">
      <c r="A41">
        <v>62</v>
      </c>
      <c r="B41">
        <v>35</v>
      </c>
      <c r="C41">
        <v>2</v>
      </c>
    </row>
    <row r="42" spans="1:3" x14ac:dyDescent="0.2">
      <c r="A42">
        <v>1</v>
      </c>
      <c r="B42">
        <v>37</v>
      </c>
      <c r="C42">
        <v>3</v>
      </c>
    </row>
    <row r="43" spans="1:3" x14ac:dyDescent="0.2">
      <c r="A43">
        <v>2</v>
      </c>
      <c r="B43">
        <v>39</v>
      </c>
      <c r="C43">
        <v>3</v>
      </c>
    </row>
    <row r="44" spans="1:3" x14ac:dyDescent="0.2">
      <c r="A44">
        <v>81</v>
      </c>
      <c r="B44">
        <v>40</v>
      </c>
      <c r="C44">
        <v>3</v>
      </c>
    </row>
    <row r="45" spans="1:3" x14ac:dyDescent="0.2">
      <c r="A45">
        <v>57</v>
      </c>
      <c r="B45">
        <v>47</v>
      </c>
      <c r="C45">
        <v>3</v>
      </c>
    </row>
    <row r="46" spans="1:3" x14ac:dyDescent="0.2">
      <c r="A46">
        <v>63</v>
      </c>
      <c r="B46">
        <v>44</v>
      </c>
      <c r="C46">
        <v>3</v>
      </c>
    </row>
    <row r="47" spans="1:3" x14ac:dyDescent="0.2">
      <c r="A47">
        <v>55</v>
      </c>
      <c r="B47">
        <v>26</v>
      </c>
      <c r="C47">
        <v>3</v>
      </c>
    </row>
    <row r="48" spans="1:3" x14ac:dyDescent="0.2">
      <c r="A48">
        <v>82</v>
      </c>
      <c r="B48">
        <v>39</v>
      </c>
      <c r="C48">
        <v>3</v>
      </c>
    </row>
    <row r="49" spans="1:3" x14ac:dyDescent="0.2">
      <c r="A49">
        <v>85</v>
      </c>
      <c r="B49">
        <v>34</v>
      </c>
      <c r="C49">
        <v>3</v>
      </c>
    </row>
    <row r="50" spans="1:3" x14ac:dyDescent="0.2">
      <c r="A50">
        <v>90</v>
      </c>
      <c r="B50">
        <v>42</v>
      </c>
      <c r="C50">
        <v>3</v>
      </c>
    </row>
    <row r="51" spans="1:3" x14ac:dyDescent="0.2">
      <c r="A51">
        <v>49</v>
      </c>
      <c r="B51">
        <v>31</v>
      </c>
      <c r="C51">
        <v>3</v>
      </c>
    </row>
    <row r="52" spans="1:3" x14ac:dyDescent="0.2">
      <c r="A52">
        <v>78</v>
      </c>
      <c r="B52">
        <v>27</v>
      </c>
      <c r="C52">
        <v>3</v>
      </c>
    </row>
    <row r="53" spans="1:3" x14ac:dyDescent="0.2">
      <c r="A53">
        <v>48</v>
      </c>
      <c r="B53">
        <v>32</v>
      </c>
      <c r="C53">
        <v>3</v>
      </c>
    </row>
    <row r="54" spans="1:3" x14ac:dyDescent="0.2">
      <c r="A54">
        <v>70</v>
      </c>
      <c r="B54">
        <v>30</v>
      </c>
      <c r="C54">
        <v>3</v>
      </c>
    </row>
    <row r="55" spans="1:3" x14ac:dyDescent="0.2">
      <c r="A55">
        <v>64</v>
      </c>
      <c r="B55">
        <v>43</v>
      </c>
      <c r="C55">
        <v>3</v>
      </c>
    </row>
    <row r="56" spans="1:3" x14ac:dyDescent="0.2">
      <c r="A56">
        <v>89</v>
      </c>
      <c r="B56">
        <v>32</v>
      </c>
      <c r="C56">
        <v>3</v>
      </c>
    </row>
    <row r="57" spans="1:3" x14ac:dyDescent="0.2">
      <c r="A57">
        <v>50</v>
      </c>
      <c r="B57">
        <v>50</v>
      </c>
      <c r="C57">
        <v>3</v>
      </c>
    </row>
    <row r="58" spans="1:3" x14ac:dyDescent="0.2">
      <c r="A58">
        <v>43</v>
      </c>
      <c r="B58">
        <v>36</v>
      </c>
      <c r="C58">
        <v>3</v>
      </c>
    </row>
    <row r="59" spans="1:3" x14ac:dyDescent="0.2">
      <c r="A59">
        <v>86</v>
      </c>
      <c r="B59">
        <v>25</v>
      </c>
      <c r="C59">
        <v>3</v>
      </c>
    </row>
    <row r="60" spans="1:3" x14ac:dyDescent="0.2">
      <c r="A60">
        <v>67</v>
      </c>
      <c r="B60">
        <v>39</v>
      </c>
      <c r="C60">
        <v>3</v>
      </c>
    </row>
    <row r="61" spans="1:3" x14ac:dyDescent="0.2">
      <c r="A61">
        <v>62</v>
      </c>
      <c r="B61">
        <v>35</v>
      </c>
      <c r="C61">
        <v>3</v>
      </c>
    </row>
    <row r="62" spans="1:3" x14ac:dyDescent="0.2">
      <c r="A62">
        <v>1</v>
      </c>
      <c r="B62">
        <v>34</v>
      </c>
      <c r="C62">
        <v>4</v>
      </c>
    </row>
    <row r="63" spans="1:3" x14ac:dyDescent="0.2">
      <c r="A63">
        <v>2</v>
      </c>
      <c r="B63">
        <v>33</v>
      </c>
      <c r="C63">
        <v>4</v>
      </c>
    </row>
    <row r="64" spans="1:3" x14ac:dyDescent="0.2">
      <c r="A64">
        <v>81</v>
      </c>
      <c r="B64">
        <v>26</v>
      </c>
      <c r="C64">
        <v>4</v>
      </c>
    </row>
    <row r="65" spans="1:3" x14ac:dyDescent="0.2">
      <c r="A65">
        <v>57</v>
      </c>
      <c r="B65">
        <v>35</v>
      </c>
      <c r="C65">
        <v>4</v>
      </c>
    </row>
    <row r="66" spans="1:3" x14ac:dyDescent="0.2">
      <c r="A66">
        <v>63</v>
      </c>
      <c r="B66">
        <v>44</v>
      </c>
      <c r="C66">
        <v>4</v>
      </c>
    </row>
    <row r="67" spans="1:3" x14ac:dyDescent="0.2">
      <c r="A67">
        <v>55</v>
      </c>
      <c r="B67">
        <v>27</v>
      </c>
      <c r="C67">
        <v>4</v>
      </c>
    </row>
    <row r="68" spans="1:3" x14ac:dyDescent="0.2">
      <c r="A68">
        <v>82</v>
      </c>
      <c r="B68">
        <v>6</v>
      </c>
      <c r="C68">
        <v>4</v>
      </c>
    </row>
    <row r="69" spans="1:3" x14ac:dyDescent="0.2">
      <c r="A69">
        <v>85</v>
      </c>
      <c r="B69">
        <v>34</v>
      </c>
      <c r="C69">
        <v>4</v>
      </c>
    </row>
    <row r="70" spans="1:3" x14ac:dyDescent="0.2">
      <c r="A70">
        <v>90</v>
      </c>
      <c r="B70">
        <v>44</v>
      </c>
      <c r="C70">
        <v>4</v>
      </c>
    </row>
    <row r="71" spans="1:3" x14ac:dyDescent="0.2">
      <c r="A71">
        <v>49</v>
      </c>
      <c r="B71">
        <v>35</v>
      </c>
      <c r="C71">
        <v>4</v>
      </c>
    </row>
    <row r="72" spans="1:3" x14ac:dyDescent="0.2">
      <c r="A72">
        <v>78</v>
      </c>
      <c r="B72">
        <v>21</v>
      </c>
      <c r="C72">
        <v>4</v>
      </c>
    </row>
    <row r="73" spans="1:3" x14ac:dyDescent="0.2">
      <c r="A73">
        <v>48</v>
      </c>
      <c r="B73">
        <v>27</v>
      </c>
      <c r="C73">
        <v>4</v>
      </c>
    </row>
    <row r="74" spans="1:3" x14ac:dyDescent="0.2">
      <c r="A74">
        <v>70</v>
      </c>
      <c r="B74">
        <v>11</v>
      </c>
      <c r="C74">
        <v>4</v>
      </c>
    </row>
    <row r="75" spans="1:3" x14ac:dyDescent="0.2">
      <c r="A75">
        <v>64</v>
      </c>
      <c r="B75">
        <v>3</v>
      </c>
      <c r="C75">
        <v>4</v>
      </c>
    </row>
    <row r="76" spans="1:3" x14ac:dyDescent="0.2">
      <c r="A76">
        <v>89</v>
      </c>
      <c r="B76">
        <v>34</v>
      </c>
      <c r="C76">
        <v>4</v>
      </c>
    </row>
    <row r="77" spans="1:3" x14ac:dyDescent="0.2">
      <c r="A77">
        <v>50</v>
      </c>
      <c r="B77">
        <v>46</v>
      </c>
      <c r="C77">
        <v>4</v>
      </c>
    </row>
    <row r="78" spans="1:3" x14ac:dyDescent="0.2">
      <c r="A78">
        <v>43</v>
      </c>
      <c r="B78">
        <v>36</v>
      </c>
      <c r="C78">
        <v>4</v>
      </c>
    </row>
    <row r="79" spans="1:3" x14ac:dyDescent="0.2">
      <c r="A79">
        <v>86</v>
      </c>
      <c r="B79">
        <v>28</v>
      </c>
      <c r="C79">
        <v>4</v>
      </c>
    </row>
    <row r="80" spans="1:3" x14ac:dyDescent="0.2">
      <c r="A80">
        <v>67</v>
      </c>
      <c r="B80">
        <v>39</v>
      </c>
      <c r="C80">
        <v>4</v>
      </c>
    </row>
    <row r="81" spans="1:3" x14ac:dyDescent="0.2">
      <c r="A81">
        <v>62</v>
      </c>
      <c r="B81">
        <v>19</v>
      </c>
      <c r="C8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5547-32AD-B045-99DF-0BB6D8C91095}">
  <dimension ref="A1:O103"/>
  <sheetViews>
    <sheetView topLeftCell="A53" workbookViewId="0">
      <selection activeCell="M53" sqref="M53:M103"/>
    </sheetView>
  </sheetViews>
  <sheetFormatPr baseColWidth="10" defaultRowHeight="16" x14ac:dyDescent="0.2"/>
  <sheetData>
    <row r="1" spans="1:15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3</v>
      </c>
      <c r="I1" t="s">
        <v>14</v>
      </c>
      <c r="J1" t="s">
        <v>23</v>
      </c>
      <c r="K1" t="s">
        <v>24</v>
      </c>
      <c r="L1" t="s">
        <v>15</v>
      </c>
      <c r="M1" t="s">
        <v>16</v>
      </c>
      <c r="N1" t="s">
        <v>18</v>
      </c>
      <c r="O1" t="s">
        <v>3</v>
      </c>
    </row>
    <row r="2" spans="1:15" x14ac:dyDescent="0.2">
      <c r="A2" t="s">
        <v>19</v>
      </c>
      <c r="B2">
        <v>1</v>
      </c>
      <c r="C2">
        <v>5</v>
      </c>
      <c r="D2" t="s">
        <v>20</v>
      </c>
      <c r="E2">
        <v>2.4700000000000002</v>
      </c>
      <c r="F2" t="s">
        <v>22</v>
      </c>
      <c r="I2" t="s">
        <v>25</v>
      </c>
      <c r="J2" t="s">
        <v>26</v>
      </c>
      <c r="K2">
        <v>1</v>
      </c>
      <c r="L2" t="s">
        <v>27</v>
      </c>
      <c r="M2">
        <v>4</v>
      </c>
      <c r="N2">
        <v>2.67</v>
      </c>
      <c r="O2" t="s">
        <v>22</v>
      </c>
    </row>
    <row r="3" spans="1:15" x14ac:dyDescent="0.2">
      <c r="A3" t="s">
        <v>19</v>
      </c>
      <c r="B3">
        <v>2</v>
      </c>
      <c r="C3">
        <v>3</v>
      </c>
      <c r="D3" t="s">
        <v>20</v>
      </c>
      <c r="E3">
        <v>2.5</v>
      </c>
      <c r="I3" t="s">
        <v>25</v>
      </c>
      <c r="J3" t="s">
        <v>26</v>
      </c>
      <c r="K3">
        <v>2</v>
      </c>
      <c r="L3" t="s">
        <v>28</v>
      </c>
      <c r="M3">
        <v>4</v>
      </c>
      <c r="N3">
        <v>2.6259999999999999</v>
      </c>
    </row>
    <row r="4" spans="1:15" x14ac:dyDescent="0.2">
      <c r="A4" t="s">
        <v>19</v>
      </c>
      <c r="B4">
        <v>3</v>
      </c>
      <c r="C4">
        <v>5</v>
      </c>
      <c r="D4" t="s">
        <v>20</v>
      </c>
      <c r="E4">
        <v>2.59</v>
      </c>
      <c r="I4" t="s">
        <v>25</v>
      </c>
      <c r="J4" t="s">
        <v>26</v>
      </c>
      <c r="K4">
        <v>3</v>
      </c>
      <c r="L4" t="s">
        <v>29</v>
      </c>
      <c r="M4">
        <v>6</v>
      </c>
      <c r="N4">
        <v>2.641</v>
      </c>
    </row>
    <row r="5" spans="1:15" x14ac:dyDescent="0.2">
      <c r="A5" t="s">
        <v>19</v>
      </c>
      <c r="B5">
        <v>4</v>
      </c>
      <c r="C5">
        <v>4</v>
      </c>
      <c r="D5" t="s">
        <v>20</v>
      </c>
      <c r="E5">
        <v>2.52</v>
      </c>
      <c r="I5" t="s">
        <v>25</v>
      </c>
      <c r="J5" t="s">
        <v>26</v>
      </c>
      <c r="K5">
        <v>4</v>
      </c>
      <c r="L5" t="s">
        <v>30</v>
      </c>
      <c r="M5">
        <v>5</v>
      </c>
      <c r="N5">
        <v>2.6549999999999998</v>
      </c>
    </row>
    <row r="6" spans="1:15" x14ac:dyDescent="0.2">
      <c r="A6" t="s">
        <v>19</v>
      </c>
      <c r="B6">
        <v>5</v>
      </c>
      <c r="C6">
        <v>4</v>
      </c>
      <c r="D6" t="s">
        <v>20</v>
      </c>
      <c r="E6">
        <v>2.68</v>
      </c>
      <c r="I6" t="s">
        <v>25</v>
      </c>
      <c r="J6" t="s">
        <v>26</v>
      </c>
      <c r="K6">
        <v>5</v>
      </c>
      <c r="L6" t="s">
        <v>31</v>
      </c>
      <c r="M6">
        <v>5</v>
      </c>
      <c r="N6">
        <v>2.512</v>
      </c>
    </row>
    <row r="7" spans="1:15" x14ac:dyDescent="0.2">
      <c r="A7" t="s">
        <v>19</v>
      </c>
      <c r="B7">
        <v>6</v>
      </c>
      <c r="C7">
        <v>4</v>
      </c>
      <c r="D7" t="s">
        <v>20</v>
      </c>
      <c r="E7">
        <v>2.52</v>
      </c>
      <c r="I7" t="s">
        <v>25</v>
      </c>
      <c r="J7" t="s">
        <v>26</v>
      </c>
      <c r="K7">
        <v>6</v>
      </c>
      <c r="L7" t="s">
        <v>32</v>
      </c>
      <c r="M7">
        <v>4</v>
      </c>
      <c r="N7">
        <v>2.657</v>
      </c>
    </row>
    <row r="8" spans="1:15" x14ac:dyDescent="0.2">
      <c r="A8" t="s">
        <v>19</v>
      </c>
      <c r="B8">
        <v>7</v>
      </c>
      <c r="C8">
        <v>3</v>
      </c>
      <c r="D8" t="s">
        <v>20</v>
      </c>
      <c r="E8">
        <v>2.57</v>
      </c>
      <c r="I8" t="s">
        <v>25</v>
      </c>
      <c r="J8" t="s">
        <v>26</v>
      </c>
      <c r="K8">
        <v>7</v>
      </c>
      <c r="L8" t="s">
        <v>33</v>
      </c>
      <c r="M8">
        <v>4</v>
      </c>
      <c r="N8">
        <v>2.6560000000000001</v>
      </c>
    </row>
    <row r="9" spans="1:15" x14ac:dyDescent="0.2">
      <c r="A9" t="s">
        <v>19</v>
      </c>
      <c r="B9">
        <v>8</v>
      </c>
      <c r="C9">
        <v>5</v>
      </c>
      <c r="D9" t="s">
        <v>20</v>
      </c>
      <c r="E9">
        <v>2.62</v>
      </c>
      <c r="I9" t="s">
        <v>25</v>
      </c>
      <c r="J9" t="s">
        <v>26</v>
      </c>
      <c r="K9">
        <v>8</v>
      </c>
      <c r="L9" t="s">
        <v>34</v>
      </c>
      <c r="M9">
        <v>3</v>
      </c>
      <c r="N9">
        <v>2.657</v>
      </c>
    </row>
    <row r="10" spans="1:15" x14ac:dyDescent="0.2">
      <c r="A10" t="s">
        <v>19</v>
      </c>
      <c r="B10">
        <v>9</v>
      </c>
      <c r="C10">
        <v>5</v>
      </c>
      <c r="D10" t="s">
        <v>20</v>
      </c>
      <c r="E10">
        <v>2.63</v>
      </c>
      <c r="I10" t="s">
        <v>25</v>
      </c>
      <c r="J10" t="s">
        <v>26</v>
      </c>
      <c r="K10">
        <v>9</v>
      </c>
      <c r="L10" t="s">
        <v>35</v>
      </c>
      <c r="M10">
        <v>4</v>
      </c>
      <c r="N10">
        <v>2.5840000000000001</v>
      </c>
    </row>
    <row r="11" spans="1:15" x14ac:dyDescent="0.2">
      <c r="A11" t="s">
        <v>19</v>
      </c>
      <c r="B11">
        <v>10</v>
      </c>
      <c r="C11">
        <v>4</v>
      </c>
      <c r="D11" t="s">
        <v>20</v>
      </c>
      <c r="E11">
        <v>2.59</v>
      </c>
      <c r="I11" t="s">
        <v>25</v>
      </c>
      <c r="J11" t="s">
        <v>26</v>
      </c>
      <c r="K11">
        <v>10</v>
      </c>
      <c r="L11" t="s">
        <v>36</v>
      </c>
      <c r="M11">
        <v>4</v>
      </c>
      <c r="N11">
        <v>2.601</v>
      </c>
    </row>
    <row r="12" spans="1:15" x14ac:dyDescent="0.2">
      <c r="A12" t="s">
        <v>19</v>
      </c>
      <c r="B12">
        <v>11</v>
      </c>
      <c r="C12">
        <v>6</v>
      </c>
      <c r="D12" t="s">
        <v>20</v>
      </c>
      <c r="E12">
        <v>2.62</v>
      </c>
      <c r="I12" t="s">
        <v>25</v>
      </c>
      <c r="J12" t="s">
        <v>26</v>
      </c>
      <c r="K12">
        <v>11</v>
      </c>
      <c r="L12" t="s">
        <v>37</v>
      </c>
      <c r="M12">
        <v>6</v>
      </c>
      <c r="N12">
        <v>2.6949999999999998</v>
      </c>
    </row>
    <row r="13" spans="1:15" x14ac:dyDescent="0.2">
      <c r="A13" t="s">
        <v>19</v>
      </c>
      <c r="B13">
        <v>12</v>
      </c>
      <c r="C13">
        <v>4</v>
      </c>
      <c r="D13" t="s">
        <v>20</v>
      </c>
      <c r="E13">
        <v>2.4500000000000002</v>
      </c>
      <c r="I13" t="s">
        <v>25</v>
      </c>
      <c r="J13" t="s">
        <v>26</v>
      </c>
      <c r="K13">
        <v>12</v>
      </c>
      <c r="L13" t="s">
        <v>38</v>
      </c>
      <c r="M13">
        <v>3</v>
      </c>
      <c r="N13">
        <v>2.5089999999999999</v>
      </c>
    </row>
    <row r="14" spans="1:15" x14ac:dyDescent="0.2">
      <c r="A14" t="s">
        <v>19</v>
      </c>
      <c r="B14">
        <v>13</v>
      </c>
      <c r="C14">
        <v>5</v>
      </c>
      <c r="D14" t="s">
        <v>20</v>
      </c>
      <c r="E14">
        <v>2.4300000000000002</v>
      </c>
      <c r="I14" t="s">
        <v>25</v>
      </c>
      <c r="J14" t="s">
        <v>26</v>
      </c>
      <c r="K14">
        <v>13</v>
      </c>
      <c r="L14" t="s">
        <v>39</v>
      </c>
      <c r="M14">
        <v>7</v>
      </c>
      <c r="N14">
        <v>2.7450000000000001</v>
      </c>
    </row>
    <row r="15" spans="1:15" x14ac:dyDescent="0.2">
      <c r="A15" t="s">
        <v>19</v>
      </c>
      <c r="B15">
        <v>14</v>
      </c>
      <c r="C15">
        <v>3</v>
      </c>
      <c r="D15" t="s">
        <v>20</v>
      </c>
      <c r="E15">
        <v>2.68</v>
      </c>
      <c r="I15" t="s">
        <v>25</v>
      </c>
      <c r="J15" t="s">
        <v>26</v>
      </c>
      <c r="K15">
        <v>14</v>
      </c>
      <c r="L15" t="s">
        <v>40</v>
      </c>
      <c r="M15">
        <v>4</v>
      </c>
      <c r="N15">
        <v>2.528</v>
      </c>
    </row>
    <row r="16" spans="1:15" x14ac:dyDescent="0.2">
      <c r="A16" t="s">
        <v>19</v>
      </c>
      <c r="B16">
        <v>15</v>
      </c>
      <c r="C16">
        <v>5</v>
      </c>
      <c r="D16" t="s">
        <v>20</v>
      </c>
      <c r="E16">
        <v>2.57</v>
      </c>
      <c r="I16" t="s">
        <v>25</v>
      </c>
      <c r="J16" t="s">
        <v>26</v>
      </c>
      <c r="K16">
        <v>15</v>
      </c>
      <c r="L16" t="s">
        <v>41</v>
      </c>
      <c r="M16">
        <v>4</v>
      </c>
      <c r="N16">
        <v>2.5489999999999999</v>
      </c>
    </row>
    <row r="17" spans="1:14" x14ac:dyDescent="0.2">
      <c r="A17" t="s">
        <v>19</v>
      </c>
      <c r="B17">
        <v>16</v>
      </c>
      <c r="C17">
        <v>2</v>
      </c>
      <c r="D17" t="s">
        <v>20</v>
      </c>
      <c r="E17">
        <v>2.5299999999999998</v>
      </c>
      <c r="I17" t="s">
        <v>25</v>
      </c>
      <c r="J17" t="s">
        <v>26</v>
      </c>
      <c r="K17">
        <v>16</v>
      </c>
      <c r="L17" t="s">
        <v>42</v>
      </c>
      <c r="M17">
        <v>6</v>
      </c>
      <c r="N17" t="s">
        <v>21</v>
      </c>
    </row>
    <row r="18" spans="1:14" x14ac:dyDescent="0.2">
      <c r="A18" t="s">
        <v>19</v>
      </c>
      <c r="B18">
        <v>17</v>
      </c>
      <c r="C18">
        <v>4</v>
      </c>
      <c r="D18" t="s">
        <v>20</v>
      </c>
      <c r="E18">
        <v>2.57</v>
      </c>
      <c r="I18" t="s">
        <v>25</v>
      </c>
      <c r="J18" t="s">
        <v>26</v>
      </c>
      <c r="K18">
        <v>17</v>
      </c>
      <c r="L18" t="s">
        <v>43</v>
      </c>
      <c r="M18">
        <v>6</v>
      </c>
      <c r="N18" t="s">
        <v>21</v>
      </c>
    </row>
    <row r="19" spans="1:14" x14ac:dyDescent="0.2">
      <c r="A19" t="s">
        <v>19</v>
      </c>
      <c r="B19">
        <v>18</v>
      </c>
      <c r="C19">
        <v>6</v>
      </c>
      <c r="D19" t="s">
        <v>20</v>
      </c>
      <c r="E19">
        <v>2.63</v>
      </c>
      <c r="I19" t="s">
        <v>25</v>
      </c>
      <c r="J19" t="s">
        <v>44</v>
      </c>
      <c r="K19">
        <v>1</v>
      </c>
      <c r="L19" t="s">
        <v>6</v>
      </c>
      <c r="M19">
        <v>7</v>
      </c>
      <c r="N19">
        <v>2.5209999999999999</v>
      </c>
    </row>
    <row r="20" spans="1:14" x14ac:dyDescent="0.2">
      <c r="A20" t="s">
        <v>19</v>
      </c>
      <c r="B20">
        <v>19</v>
      </c>
      <c r="C20">
        <v>4</v>
      </c>
      <c r="D20" t="s">
        <v>20</v>
      </c>
      <c r="E20">
        <v>2.5499999999999998</v>
      </c>
      <c r="I20" t="s">
        <v>25</v>
      </c>
      <c r="J20" t="s">
        <v>44</v>
      </c>
      <c r="K20">
        <v>2</v>
      </c>
      <c r="L20" t="s">
        <v>7</v>
      </c>
      <c r="M20">
        <v>6</v>
      </c>
      <c r="N20">
        <v>2.585</v>
      </c>
    </row>
    <row r="21" spans="1:14" x14ac:dyDescent="0.2">
      <c r="A21" t="s">
        <v>19</v>
      </c>
      <c r="B21">
        <v>20</v>
      </c>
      <c r="C21">
        <v>3</v>
      </c>
      <c r="D21" t="s">
        <v>20</v>
      </c>
      <c r="E21">
        <v>2.57</v>
      </c>
      <c r="I21" t="s">
        <v>25</v>
      </c>
      <c r="J21" t="s">
        <v>44</v>
      </c>
      <c r="K21">
        <v>3</v>
      </c>
      <c r="L21" t="s">
        <v>45</v>
      </c>
      <c r="M21">
        <v>6</v>
      </c>
      <c r="N21">
        <v>2.5339999999999998</v>
      </c>
    </row>
    <row r="22" spans="1:14" x14ac:dyDescent="0.2">
      <c r="A22" t="s">
        <v>19</v>
      </c>
      <c r="B22">
        <v>21</v>
      </c>
      <c r="C22">
        <v>3</v>
      </c>
      <c r="D22" t="s">
        <v>20</v>
      </c>
      <c r="E22">
        <v>2.7</v>
      </c>
      <c r="I22" t="s">
        <v>25</v>
      </c>
      <c r="J22" t="s">
        <v>44</v>
      </c>
      <c r="K22">
        <v>4</v>
      </c>
      <c r="L22" t="s">
        <v>46</v>
      </c>
      <c r="M22">
        <v>5</v>
      </c>
      <c r="N22">
        <v>2.6419999999999999</v>
      </c>
    </row>
    <row r="23" spans="1:14" x14ac:dyDescent="0.2">
      <c r="A23" t="s">
        <v>19</v>
      </c>
      <c r="B23">
        <v>22</v>
      </c>
      <c r="C23">
        <v>4</v>
      </c>
      <c r="D23" t="s">
        <v>20</v>
      </c>
      <c r="E23">
        <v>2.54</v>
      </c>
      <c r="I23" t="s">
        <v>25</v>
      </c>
      <c r="J23" t="s">
        <v>44</v>
      </c>
      <c r="K23">
        <v>5</v>
      </c>
      <c r="L23" t="s">
        <v>47</v>
      </c>
      <c r="M23">
        <v>5</v>
      </c>
      <c r="N23">
        <v>2.4689999999999999</v>
      </c>
    </row>
    <row r="24" spans="1:14" x14ac:dyDescent="0.2">
      <c r="A24" t="s">
        <v>19</v>
      </c>
      <c r="B24">
        <v>23</v>
      </c>
      <c r="C24">
        <v>5</v>
      </c>
      <c r="D24" t="s">
        <v>20</v>
      </c>
      <c r="E24" t="s">
        <v>21</v>
      </c>
      <c r="I24" t="s">
        <v>25</v>
      </c>
      <c r="J24" t="s">
        <v>44</v>
      </c>
      <c r="K24">
        <v>6</v>
      </c>
      <c r="L24" t="s">
        <v>48</v>
      </c>
      <c r="M24">
        <v>7</v>
      </c>
      <c r="N24">
        <v>2.5790000000000002</v>
      </c>
    </row>
    <row r="25" spans="1:14" x14ac:dyDescent="0.2">
      <c r="A25" t="s">
        <v>19</v>
      </c>
      <c r="B25">
        <v>24</v>
      </c>
      <c r="C25">
        <v>6</v>
      </c>
      <c r="D25" t="s">
        <v>20</v>
      </c>
      <c r="E25" t="s">
        <v>21</v>
      </c>
      <c r="I25" t="s">
        <v>25</v>
      </c>
      <c r="J25" t="s">
        <v>44</v>
      </c>
      <c r="K25">
        <v>7</v>
      </c>
      <c r="L25" t="s">
        <v>49</v>
      </c>
      <c r="M25">
        <v>7</v>
      </c>
      <c r="N25">
        <v>2.6629999999999998</v>
      </c>
    </row>
    <row r="26" spans="1:14" x14ac:dyDescent="0.2">
      <c r="A26" t="s">
        <v>19</v>
      </c>
      <c r="B26">
        <v>25</v>
      </c>
      <c r="C26">
        <v>4</v>
      </c>
      <c r="D26" t="s">
        <v>20</v>
      </c>
      <c r="E26" t="s">
        <v>21</v>
      </c>
      <c r="I26" t="s">
        <v>25</v>
      </c>
      <c r="J26" t="s">
        <v>44</v>
      </c>
      <c r="K26">
        <v>8</v>
      </c>
      <c r="L26" t="s">
        <v>50</v>
      </c>
      <c r="M26">
        <v>7</v>
      </c>
      <c r="N26">
        <v>2.6709999999999998</v>
      </c>
    </row>
    <row r="27" spans="1:14" x14ac:dyDescent="0.2">
      <c r="A27" t="s">
        <v>19</v>
      </c>
      <c r="B27">
        <v>26</v>
      </c>
      <c r="C27">
        <v>3</v>
      </c>
      <c r="D27" t="s">
        <v>20</v>
      </c>
      <c r="E27" t="s">
        <v>21</v>
      </c>
      <c r="I27" t="s">
        <v>25</v>
      </c>
      <c r="J27" t="s">
        <v>44</v>
      </c>
      <c r="K27">
        <v>9</v>
      </c>
      <c r="L27" t="s">
        <v>51</v>
      </c>
      <c r="M27">
        <v>4</v>
      </c>
      <c r="N27">
        <v>2.6829999999999998</v>
      </c>
    </row>
    <row r="28" spans="1:14" x14ac:dyDescent="0.2">
      <c r="A28" t="s">
        <v>19</v>
      </c>
      <c r="B28">
        <v>27</v>
      </c>
      <c r="C28">
        <v>5</v>
      </c>
      <c r="D28" t="s">
        <v>20</v>
      </c>
      <c r="E28" t="s">
        <v>21</v>
      </c>
      <c r="I28" t="s">
        <v>25</v>
      </c>
      <c r="J28" t="s">
        <v>44</v>
      </c>
      <c r="K28">
        <v>10</v>
      </c>
      <c r="L28" t="s">
        <v>52</v>
      </c>
      <c r="M28">
        <v>8</v>
      </c>
      <c r="N28">
        <v>2.6230000000000002</v>
      </c>
    </row>
    <row r="29" spans="1:14" x14ac:dyDescent="0.2">
      <c r="A29" t="s">
        <v>19</v>
      </c>
      <c r="B29">
        <v>28</v>
      </c>
      <c r="C29">
        <v>4</v>
      </c>
      <c r="D29" t="s">
        <v>20</v>
      </c>
      <c r="E29" t="s">
        <v>21</v>
      </c>
      <c r="I29" t="s">
        <v>25</v>
      </c>
      <c r="J29" t="s">
        <v>44</v>
      </c>
      <c r="K29">
        <v>11</v>
      </c>
      <c r="L29" t="s">
        <v>53</v>
      </c>
      <c r="M29">
        <v>8</v>
      </c>
      <c r="N29">
        <v>2.468</v>
      </c>
    </row>
    <row r="30" spans="1:14" x14ac:dyDescent="0.2">
      <c r="A30" t="s">
        <v>19</v>
      </c>
      <c r="B30">
        <v>29</v>
      </c>
      <c r="C30">
        <v>4</v>
      </c>
      <c r="D30" t="s">
        <v>20</v>
      </c>
      <c r="E30" t="s">
        <v>21</v>
      </c>
      <c r="I30" t="s">
        <v>25</v>
      </c>
      <c r="J30" t="s">
        <v>44</v>
      </c>
      <c r="K30">
        <v>12</v>
      </c>
      <c r="L30" t="s">
        <v>54</v>
      </c>
      <c r="M30">
        <v>5</v>
      </c>
      <c r="N30">
        <v>2.4300000000000002</v>
      </c>
    </row>
    <row r="31" spans="1:14" x14ac:dyDescent="0.2">
      <c r="A31" t="s">
        <v>19</v>
      </c>
      <c r="B31">
        <v>30</v>
      </c>
      <c r="C31">
        <v>3</v>
      </c>
      <c r="D31" t="s">
        <v>20</v>
      </c>
      <c r="E31" t="s">
        <v>21</v>
      </c>
      <c r="I31" t="s">
        <v>25</v>
      </c>
      <c r="J31" t="s">
        <v>44</v>
      </c>
      <c r="K31">
        <v>13</v>
      </c>
      <c r="L31" t="s">
        <v>55</v>
      </c>
      <c r="M31">
        <v>4</v>
      </c>
      <c r="N31">
        <v>2.419</v>
      </c>
    </row>
    <row r="32" spans="1:14" x14ac:dyDescent="0.2">
      <c r="I32" t="s">
        <v>25</v>
      </c>
      <c r="J32" t="s">
        <v>44</v>
      </c>
      <c r="K32">
        <v>14</v>
      </c>
      <c r="L32" t="s">
        <v>56</v>
      </c>
      <c r="M32">
        <v>9</v>
      </c>
      <c r="N32">
        <v>2.3769999999999998</v>
      </c>
    </row>
    <row r="33" spans="9:14" x14ac:dyDescent="0.2">
      <c r="I33" t="s">
        <v>25</v>
      </c>
      <c r="J33" t="s">
        <v>44</v>
      </c>
      <c r="K33">
        <v>15</v>
      </c>
      <c r="L33" t="s">
        <v>57</v>
      </c>
      <c r="M33">
        <v>6</v>
      </c>
      <c r="N33">
        <v>2.5720000000000001</v>
      </c>
    </row>
    <row r="34" spans="9:14" x14ac:dyDescent="0.2">
      <c r="I34" t="s">
        <v>25</v>
      </c>
      <c r="J34" t="s">
        <v>44</v>
      </c>
      <c r="K34">
        <v>16</v>
      </c>
      <c r="L34" t="s">
        <v>58</v>
      </c>
      <c r="M34">
        <v>6</v>
      </c>
      <c r="N34" t="s">
        <v>21</v>
      </c>
    </row>
    <row r="35" spans="9:14" x14ac:dyDescent="0.2">
      <c r="I35" t="s">
        <v>25</v>
      </c>
      <c r="J35" t="s">
        <v>44</v>
      </c>
      <c r="K35">
        <v>17</v>
      </c>
      <c r="L35" t="s">
        <v>59</v>
      </c>
      <c r="M35">
        <v>8</v>
      </c>
      <c r="N35" t="s">
        <v>21</v>
      </c>
    </row>
    <row r="36" spans="9:14" x14ac:dyDescent="0.2">
      <c r="I36" t="s">
        <v>25</v>
      </c>
      <c r="J36" t="s">
        <v>60</v>
      </c>
      <c r="K36">
        <v>1</v>
      </c>
      <c r="L36" t="s">
        <v>61</v>
      </c>
      <c r="M36">
        <v>5</v>
      </c>
      <c r="N36">
        <v>2.5939999999999999</v>
      </c>
    </row>
    <row r="37" spans="9:14" x14ac:dyDescent="0.2">
      <c r="I37" t="s">
        <v>25</v>
      </c>
      <c r="J37" t="s">
        <v>60</v>
      </c>
      <c r="K37">
        <v>2</v>
      </c>
      <c r="L37" t="s">
        <v>62</v>
      </c>
      <c r="M37">
        <v>4</v>
      </c>
      <c r="N37">
        <v>2.4740000000000002</v>
      </c>
    </row>
    <row r="38" spans="9:14" x14ac:dyDescent="0.2">
      <c r="I38" t="s">
        <v>25</v>
      </c>
      <c r="J38" t="s">
        <v>60</v>
      </c>
      <c r="K38">
        <v>3</v>
      </c>
      <c r="L38" t="s">
        <v>63</v>
      </c>
      <c r="M38">
        <v>8</v>
      </c>
      <c r="N38">
        <v>2.4249999999999998</v>
      </c>
    </row>
    <row r="39" spans="9:14" x14ac:dyDescent="0.2">
      <c r="I39" t="s">
        <v>25</v>
      </c>
      <c r="J39" t="s">
        <v>60</v>
      </c>
      <c r="K39">
        <v>4</v>
      </c>
      <c r="L39" t="s">
        <v>64</v>
      </c>
      <c r="M39">
        <v>5</v>
      </c>
      <c r="N39">
        <v>2.548</v>
      </c>
    </row>
    <row r="40" spans="9:14" x14ac:dyDescent="0.2">
      <c r="I40" t="s">
        <v>25</v>
      </c>
      <c r="J40" t="s">
        <v>60</v>
      </c>
      <c r="K40">
        <v>5</v>
      </c>
      <c r="L40" t="s">
        <v>65</v>
      </c>
      <c r="M40">
        <v>5</v>
      </c>
      <c r="N40">
        <v>2.6309999999999998</v>
      </c>
    </row>
    <row r="41" spans="9:14" x14ac:dyDescent="0.2">
      <c r="I41" t="s">
        <v>25</v>
      </c>
      <c r="J41" t="s">
        <v>60</v>
      </c>
      <c r="K41">
        <v>6</v>
      </c>
      <c r="L41" t="s">
        <v>66</v>
      </c>
      <c r="M41">
        <v>6</v>
      </c>
      <c r="N41">
        <v>2.3530000000000002</v>
      </c>
    </row>
    <row r="42" spans="9:14" x14ac:dyDescent="0.2">
      <c r="I42" t="s">
        <v>25</v>
      </c>
      <c r="J42" t="s">
        <v>60</v>
      </c>
      <c r="K42">
        <v>7</v>
      </c>
      <c r="L42" t="s">
        <v>67</v>
      </c>
      <c r="M42">
        <v>9</v>
      </c>
      <c r="N42">
        <v>2.476</v>
      </c>
    </row>
    <row r="43" spans="9:14" x14ac:dyDescent="0.2">
      <c r="I43" t="s">
        <v>25</v>
      </c>
      <c r="J43" t="s">
        <v>60</v>
      </c>
      <c r="K43">
        <v>8</v>
      </c>
      <c r="L43" t="s">
        <v>68</v>
      </c>
      <c r="M43">
        <v>4</v>
      </c>
      <c r="N43">
        <v>2.48</v>
      </c>
    </row>
    <row r="44" spans="9:14" x14ac:dyDescent="0.2">
      <c r="I44" t="s">
        <v>25</v>
      </c>
      <c r="J44" t="s">
        <v>60</v>
      </c>
      <c r="K44">
        <v>9</v>
      </c>
      <c r="L44" t="s">
        <v>69</v>
      </c>
      <c r="M44">
        <v>7</v>
      </c>
      <c r="N44">
        <v>2.5680000000000001</v>
      </c>
    </row>
    <row r="45" spans="9:14" x14ac:dyDescent="0.2">
      <c r="I45" t="s">
        <v>25</v>
      </c>
      <c r="J45" t="s">
        <v>60</v>
      </c>
      <c r="K45">
        <v>10</v>
      </c>
      <c r="L45" t="s">
        <v>70</v>
      </c>
      <c r="M45">
        <v>5</v>
      </c>
      <c r="N45">
        <v>2.6320000000000001</v>
      </c>
    </row>
    <row r="46" spans="9:14" x14ac:dyDescent="0.2">
      <c r="I46" t="s">
        <v>25</v>
      </c>
      <c r="J46" t="s">
        <v>60</v>
      </c>
      <c r="K46">
        <v>11</v>
      </c>
      <c r="L46" t="s">
        <v>71</v>
      </c>
      <c r="M46">
        <v>5</v>
      </c>
      <c r="N46">
        <v>2.5750000000000002</v>
      </c>
    </row>
    <row r="47" spans="9:14" x14ac:dyDescent="0.2">
      <c r="I47" t="s">
        <v>25</v>
      </c>
      <c r="J47" t="s">
        <v>60</v>
      </c>
      <c r="K47">
        <v>12</v>
      </c>
      <c r="L47" t="s">
        <v>72</v>
      </c>
      <c r="M47">
        <v>7</v>
      </c>
      <c r="N47">
        <v>2.681</v>
      </c>
    </row>
    <row r="48" spans="9:14" x14ac:dyDescent="0.2">
      <c r="I48" t="s">
        <v>25</v>
      </c>
      <c r="J48" t="s">
        <v>60</v>
      </c>
      <c r="K48">
        <v>13</v>
      </c>
      <c r="L48" t="s">
        <v>73</v>
      </c>
      <c r="M48">
        <v>5</v>
      </c>
      <c r="N48">
        <v>2.702</v>
      </c>
    </row>
    <row r="49" spans="9:14" x14ac:dyDescent="0.2">
      <c r="I49" t="s">
        <v>25</v>
      </c>
      <c r="J49" t="s">
        <v>60</v>
      </c>
      <c r="K49">
        <v>14</v>
      </c>
      <c r="L49" t="s">
        <v>74</v>
      </c>
      <c r="M49">
        <v>8</v>
      </c>
      <c r="N49">
        <v>2.5529999999999999</v>
      </c>
    </row>
    <row r="50" spans="9:14" x14ac:dyDescent="0.2">
      <c r="I50" t="s">
        <v>25</v>
      </c>
      <c r="J50" t="s">
        <v>60</v>
      </c>
      <c r="K50">
        <v>15</v>
      </c>
      <c r="L50" t="s">
        <v>75</v>
      </c>
      <c r="M50">
        <v>7</v>
      </c>
      <c r="N50">
        <v>2.56</v>
      </c>
    </row>
    <row r="51" spans="9:14" x14ac:dyDescent="0.2">
      <c r="I51" t="s">
        <v>25</v>
      </c>
      <c r="J51" t="s">
        <v>60</v>
      </c>
      <c r="K51">
        <v>16</v>
      </c>
      <c r="L51" t="s">
        <v>76</v>
      </c>
      <c r="M51">
        <v>5</v>
      </c>
      <c r="N51" t="s">
        <v>21</v>
      </c>
    </row>
    <row r="52" spans="9:14" x14ac:dyDescent="0.2">
      <c r="I52" t="s">
        <v>25</v>
      </c>
      <c r="J52" t="s">
        <v>60</v>
      </c>
      <c r="K52">
        <v>17</v>
      </c>
      <c r="L52" t="s">
        <v>77</v>
      </c>
      <c r="M52">
        <v>7</v>
      </c>
      <c r="N52" t="s">
        <v>21</v>
      </c>
    </row>
    <row r="53" spans="9:14" x14ac:dyDescent="0.2">
      <c r="I53" t="s">
        <v>78</v>
      </c>
      <c r="J53" t="s">
        <v>79</v>
      </c>
      <c r="K53">
        <v>1</v>
      </c>
      <c r="L53" t="s">
        <v>80</v>
      </c>
      <c r="M53">
        <v>2</v>
      </c>
      <c r="N53">
        <v>2.52</v>
      </c>
    </row>
    <row r="54" spans="9:14" x14ac:dyDescent="0.2">
      <c r="I54" t="s">
        <v>78</v>
      </c>
      <c r="J54" t="s">
        <v>79</v>
      </c>
      <c r="K54">
        <v>2</v>
      </c>
      <c r="L54" t="s">
        <v>81</v>
      </c>
      <c r="M54">
        <v>3</v>
      </c>
      <c r="N54">
        <v>2.6240000000000001</v>
      </c>
    </row>
    <row r="55" spans="9:14" x14ac:dyDescent="0.2">
      <c r="I55" t="s">
        <v>78</v>
      </c>
      <c r="J55" t="s">
        <v>79</v>
      </c>
      <c r="K55">
        <v>3</v>
      </c>
      <c r="L55" t="s">
        <v>82</v>
      </c>
      <c r="M55">
        <v>3</v>
      </c>
      <c r="N55">
        <v>2.5609999999999999</v>
      </c>
    </row>
    <row r="56" spans="9:14" x14ac:dyDescent="0.2">
      <c r="I56" t="s">
        <v>78</v>
      </c>
      <c r="J56" t="s">
        <v>79</v>
      </c>
      <c r="K56">
        <v>4</v>
      </c>
      <c r="L56" t="s">
        <v>83</v>
      </c>
      <c r="M56">
        <v>3</v>
      </c>
      <c r="N56">
        <v>2.5579999999999998</v>
      </c>
    </row>
    <row r="57" spans="9:14" x14ac:dyDescent="0.2">
      <c r="I57" t="s">
        <v>78</v>
      </c>
      <c r="J57" t="s">
        <v>79</v>
      </c>
      <c r="K57">
        <v>5</v>
      </c>
      <c r="L57" t="s">
        <v>84</v>
      </c>
      <c r="M57">
        <v>4</v>
      </c>
      <c r="N57">
        <v>2.5649999999999999</v>
      </c>
    </row>
    <row r="58" spans="9:14" x14ac:dyDescent="0.2">
      <c r="I58" t="s">
        <v>78</v>
      </c>
      <c r="J58" t="s">
        <v>79</v>
      </c>
      <c r="K58">
        <v>6</v>
      </c>
      <c r="L58" t="s">
        <v>85</v>
      </c>
      <c r="M58">
        <v>4</v>
      </c>
      <c r="N58">
        <v>2.5590000000000002</v>
      </c>
    </row>
    <row r="59" spans="9:14" x14ac:dyDescent="0.2">
      <c r="I59" t="s">
        <v>78</v>
      </c>
      <c r="J59" t="s">
        <v>79</v>
      </c>
      <c r="K59">
        <v>7</v>
      </c>
      <c r="L59" t="s">
        <v>86</v>
      </c>
      <c r="M59">
        <v>3</v>
      </c>
      <c r="N59">
        <v>2.6110000000000002</v>
      </c>
    </row>
    <row r="60" spans="9:14" x14ac:dyDescent="0.2">
      <c r="I60" t="s">
        <v>78</v>
      </c>
      <c r="J60" t="s">
        <v>79</v>
      </c>
      <c r="K60">
        <v>8</v>
      </c>
      <c r="L60" t="s">
        <v>87</v>
      </c>
      <c r="M60">
        <v>4</v>
      </c>
      <c r="N60">
        <v>2.6070000000000002</v>
      </c>
    </row>
    <row r="61" spans="9:14" x14ac:dyDescent="0.2">
      <c r="I61" t="s">
        <v>78</v>
      </c>
      <c r="J61" t="s">
        <v>79</v>
      </c>
      <c r="K61">
        <v>9</v>
      </c>
      <c r="L61" t="s">
        <v>88</v>
      </c>
      <c r="M61">
        <v>3</v>
      </c>
      <c r="N61">
        <v>2.6579999999999999</v>
      </c>
    </row>
    <row r="62" spans="9:14" x14ac:dyDescent="0.2">
      <c r="I62" t="s">
        <v>78</v>
      </c>
      <c r="J62" t="s">
        <v>79</v>
      </c>
      <c r="K62">
        <v>10</v>
      </c>
      <c r="L62" t="s">
        <v>89</v>
      </c>
      <c r="M62">
        <v>4</v>
      </c>
      <c r="N62">
        <v>2.3889999999999998</v>
      </c>
    </row>
    <row r="63" spans="9:14" x14ac:dyDescent="0.2">
      <c r="I63" t="s">
        <v>78</v>
      </c>
      <c r="J63" t="s">
        <v>79</v>
      </c>
      <c r="K63">
        <v>11</v>
      </c>
      <c r="L63" t="s">
        <v>90</v>
      </c>
      <c r="M63">
        <v>4</v>
      </c>
      <c r="N63">
        <v>2.3580000000000001</v>
      </c>
    </row>
    <row r="64" spans="9:14" x14ac:dyDescent="0.2">
      <c r="I64" t="s">
        <v>78</v>
      </c>
      <c r="J64" t="s">
        <v>79</v>
      </c>
      <c r="K64">
        <v>12</v>
      </c>
      <c r="L64" t="s">
        <v>91</v>
      </c>
      <c r="M64">
        <v>3</v>
      </c>
      <c r="N64">
        <v>2.5470000000000002</v>
      </c>
    </row>
    <row r="65" spans="9:14" x14ac:dyDescent="0.2">
      <c r="I65" t="s">
        <v>78</v>
      </c>
      <c r="J65" t="s">
        <v>79</v>
      </c>
      <c r="K65">
        <v>13</v>
      </c>
      <c r="L65" t="s">
        <v>92</v>
      </c>
      <c r="M65">
        <v>5</v>
      </c>
      <c r="N65">
        <v>2.3319999999999999</v>
      </c>
    </row>
    <row r="66" spans="9:14" x14ac:dyDescent="0.2">
      <c r="I66" t="s">
        <v>78</v>
      </c>
      <c r="J66" t="s">
        <v>79</v>
      </c>
      <c r="K66">
        <v>14</v>
      </c>
      <c r="L66" t="s">
        <v>93</v>
      </c>
      <c r="M66">
        <v>4</v>
      </c>
      <c r="N66">
        <v>2.62</v>
      </c>
    </row>
    <row r="67" spans="9:14" x14ac:dyDescent="0.2">
      <c r="I67" t="s">
        <v>78</v>
      </c>
      <c r="J67" t="s">
        <v>79</v>
      </c>
      <c r="K67">
        <v>15</v>
      </c>
      <c r="L67" t="s">
        <v>94</v>
      </c>
      <c r="M67">
        <v>6</v>
      </c>
      <c r="N67">
        <v>2.641</v>
      </c>
    </row>
    <row r="68" spans="9:14" x14ac:dyDescent="0.2">
      <c r="I68" t="s">
        <v>78</v>
      </c>
      <c r="J68" t="s">
        <v>79</v>
      </c>
      <c r="K68">
        <v>16</v>
      </c>
      <c r="L68" t="s">
        <v>95</v>
      </c>
      <c r="M68">
        <v>3</v>
      </c>
      <c r="N68" t="s">
        <v>21</v>
      </c>
    </row>
    <row r="69" spans="9:14" x14ac:dyDescent="0.2">
      <c r="I69" t="s">
        <v>78</v>
      </c>
      <c r="J69" t="s">
        <v>79</v>
      </c>
      <c r="K69">
        <v>17</v>
      </c>
      <c r="L69" t="s">
        <v>96</v>
      </c>
      <c r="M69">
        <v>2</v>
      </c>
      <c r="N69" t="s">
        <v>21</v>
      </c>
    </row>
    <row r="70" spans="9:14" x14ac:dyDescent="0.2">
      <c r="I70" t="s">
        <v>78</v>
      </c>
      <c r="J70" t="s">
        <v>97</v>
      </c>
      <c r="K70">
        <v>1</v>
      </c>
      <c r="L70" t="s">
        <v>98</v>
      </c>
      <c r="M70">
        <v>2</v>
      </c>
      <c r="N70">
        <v>2.4820000000000002</v>
      </c>
    </row>
    <row r="71" spans="9:14" x14ac:dyDescent="0.2">
      <c r="I71" t="s">
        <v>78</v>
      </c>
      <c r="J71" t="s">
        <v>97</v>
      </c>
      <c r="K71">
        <v>2</v>
      </c>
      <c r="L71" t="s">
        <v>99</v>
      </c>
      <c r="M71">
        <v>2</v>
      </c>
      <c r="N71">
        <v>2.4820000000000002</v>
      </c>
    </row>
    <row r="72" spans="9:14" x14ac:dyDescent="0.2">
      <c r="I72" t="s">
        <v>78</v>
      </c>
      <c r="J72" t="s">
        <v>97</v>
      </c>
      <c r="K72">
        <v>3</v>
      </c>
      <c r="L72" t="s">
        <v>100</v>
      </c>
      <c r="M72">
        <v>4</v>
      </c>
      <c r="N72">
        <v>2.5680000000000001</v>
      </c>
    </row>
    <row r="73" spans="9:14" x14ac:dyDescent="0.2">
      <c r="I73" t="s">
        <v>78</v>
      </c>
      <c r="J73" t="s">
        <v>97</v>
      </c>
      <c r="K73">
        <v>4</v>
      </c>
      <c r="L73" t="s">
        <v>101</v>
      </c>
      <c r="M73">
        <v>3</v>
      </c>
      <c r="N73">
        <v>2.5329999999999999</v>
      </c>
    </row>
    <row r="74" spans="9:14" x14ac:dyDescent="0.2">
      <c r="I74" t="s">
        <v>78</v>
      </c>
      <c r="J74" t="s">
        <v>97</v>
      </c>
      <c r="K74">
        <v>5</v>
      </c>
      <c r="L74" t="s">
        <v>102</v>
      </c>
      <c r="M74">
        <v>3</v>
      </c>
      <c r="N74">
        <v>2.3149999999999999</v>
      </c>
    </row>
    <row r="75" spans="9:14" x14ac:dyDescent="0.2">
      <c r="I75" t="s">
        <v>78</v>
      </c>
      <c r="J75" t="s">
        <v>97</v>
      </c>
      <c r="K75">
        <v>6</v>
      </c>
      <c r="L75" t="s">
        <v>103</v>
      </c>
      <c r="M75">
        <v>3</v>
      </c>
      <c r="N75">
        <v>2.532</v>
      </c>
    </row>
    <row r="76" spans="9:14" x14ac:dyDescent="0.2">
      <c r="I76" t="s">
        <v>78</v>
      </c>
      <c r="J76" t="s">
        <v>97</v>
      </c>
      <c r="K76">
        <v>7</v>
      </c>
      <c r="L76" t="s">
        <v>104</v>
      </c>
      <c r="M76">
        <v>4</v>
      </c>
      <c r="N76">
        <v>2.5449999999999999</v>
      </c>
    </row>
    <row r="77" spans="9:14" x14ac:dyDescent="0.2">
      <c r="I77" t="s">
        <v>78</v>
      </c>
      <c r="J77" t="s">
        <v>97</v>
      </c>
      <c r="K77">
        <v>8</v>
      </c>
      <c r="L77" t="s">
        <v>105</v>
      </c>
      <c r="M77">
        <v>5</v>
      </c>
      <c r="N77">
        <v>2.54</v>
      </c>
    </row>
    <row r="78" spans="9:14" x14ac:dyDescent="0.2">
      <c r="I78" t="s">
        <v>78</v>
      </c>
      <c r="J78" t="s">
        <v>97</v>
      </c>
      <c r="K78">
        <v>9</v>
      </c>
      <c r="L78" t="s">
        <v>106</v>
      </c>
      <c r="M78">
        <v>3</v>
      </c>
      <c r="N78">
        <v>2.516</v>
      </c>
    </row>
    <row r="79" spans="9:14" x14ac:dyDescent="0.2">
      <c r="I79" t="s">
        <v>78</v>
      </c>
      <c r="J79" t="s">
        <v>97</v>
      </c>
      <c r="K79">
        <v>10</v>
      </c>
      <c r="L79" t="s">
        <v>107</v>
      </c>
      <c r="M79">
        <v>3</v>
      </c>
      <c r="N79">
        <v>2.577</v>
      </c>
    </row>
    <row r="80" spans="9:14" x14ac:dyDescent="0.2">
      <c r="I80" t="s">
        <v>78</v>
      </c>
      <c r="J80" t="s">
        <v>97</v>
      </c>
      <c r="K80">
        <v>11</v>
      </c>
      <c r="L80" t="s">
        <v>108</v>
      </c>
      <c r="M80">
        <v>5</v>
      </c>
      <c r="N80">
        <v>2.65</v>
      </c>
    </row>
    <row r="81" spans="9:14" x14ac:dyDescent="0.2">
      <c r="I81" t="s">
        <v>78</v>
      </c>
      <c r="J81" t="s">
        <v>97</v>
      </c>
      <c r="K81">
        <v>12</v>
      </c>
      <c r="L81" t="s">
        <v>109</v>
      </c>
      <c r="M81">
        <v>3</v>
      </c>
      <c r="N81">
        <v>2.5030000000000001</v>
      </c>
    </row>
    <row r="82" spans="9:14" x14ac:dyDescent="0.2">
      <c r="I82" t="s">
        <v>78</v>
      </c>
      <c r="J82" t="s">
        <v>97</v>
      </c>
      <c r="K82">
        <v>13</v>
      </c>
      <c r="L82" t="s">
        <v>110</v>
      </c>
      <c r="M82">
        <v>3</v>
      </c>
      <c r="N82">
        <v>2.5819999999999999</v>
      </c>
    </row>
    <row r="83" spans="9:14" x14ac:dyDescent="0.2">
      <c r="I83" t="s">
        <v>78</v>
      </c>
      <c r="J83" t="s">
        <v>97</v>
      </c>
      <c r="K83">
        <v>14</v>
      </c>
      <c r="L83" t="s">
        <v>111</v>
      </c>
      <c r="M83">
        <v>4</v>
      </c>
      <c r="N83">
        <v>2.512</v>
      </c>
    </row>
    <row r="84" spans="9:14" x14ac:dyDescent="0.2">
      <c r="I84" t="s">
        <v>78</v>
      </c>
      <c r="J84" t="s">
        <v>97</v>
      </c>
      <c r="K84">
        <v>15</v>
      </c>
      <c r="L84" t="s">
        <v>112</v>
      </c>
      <c r="M84">
        <v>3</v>
      </c>
      <c r="N84">
        <v>2.4329999999999998</v>
      </c>
    </row>
    <row r="85" spans="9:14" x14ac:dyDescent="0.2">
      <c r="I85" t="s">
        <v>78</v>
      </c>
      <c r="J85" t="s">
        <v>97</v>
      </c>
      <c r="K85">
        <v>16</v>
      </c>
      <c r="L85" t="s">
        <v>113</v>
      </c>
      <c r="M85">
        <v>5</v>
      </c>
      <c r="N85" t="s">
        <v>21</v>
      </c>
    </row>
    <row r="86" spans="9:14" x14ac:dyDescent="0.2">
      <c r="I86" t="s">
        <v>78</v>
      </c>
      <c r="J86" t="s">
        <v>97</v>
      </c>
      <c r="K86">
        <v>17</v>
      </c>
      <c r="L86" t="s">
        <v>114</v>
      </c>
      <c r="M86">
        <v>3</v>
      </c>
      <c r="N86" t="s">
        <v>21</v>
      </c>
    </row>
    <row r="87" spans="9:14" x14ac:dyDescent="0.2">
      <c r="I87" t="s">
        <v>78</v>
      </c>
      <c r="J87" t="s">
        <v>115</v>
      </c>
      <c r="K87">
        <v>1</v>
      </c>
      <c r="L87" t="s">
        <v>9</v>
      </c>
      <c r="M87">
        <v>3</v>
      </c>
      <c r="N87">
        <v>2.6030000000000002</v>
      </c>
    </row>
    <row r="88" spans="9:14" x14ac:dyDescent="0.2">
      <c r="I88" t="s">
        <v>78</v>
      </c>
      <c r="J88" t="s">
        <v>115</v>
      </c>
      <c r="K88">
        <v>2</v>
      </c>
      <c r="L88" t="s">
        <v>10</v>
      </c>
      <c r="M88">
        <v>4</v>
      </c>
      <c r="N88">
        <v>2.5390000000000001</v>
      </c>
    </row>
    <row r="89" spans="9:14" x14ac:dyDescent="0.2">
      <c r="I89" t="s">
        <v>78</v>
      </c>
      <c r="J89" t="s">
        <v>115</v>
      </c>
      <c r="K89">
        <v>3</v>
      </c>
      <c r="L89" t="s">
        <v>11</v>
      </c>
      <c r="M89">
        <v>3</v>
      </c>
      <c r="N89">
        <v>2.4929999999999999</v>
      </c>
    </row>
    <row r="90" spans="9:14" x14ac:dyDescent="0.2">
      <c r="I90" t="s">
        <v>78</v>
      </c>
      <c r="J90" t="s">
        <v>115</v>
      </c>
      <c r="K90">
        <v>4</v>
      </c>
      <c r="L90" t="s">
        <v>116</v>
      </c>
      <c r="M90">
        <v>6</v>
      </c>
      <c r="N90">
        <v>2.4729999999999999</v>
      </c>
    </row>
    <row r="91" spans="9:14" x14ac:dyDescent="0.2">
      <c r="I91" t="s">
        <v>78</v>
      </c>
      <c r="J91" t="s">
        <v>115</v>
      </c>
      <c r="K91">
        <v>5</v>
      </c>
      <c r="L91" t="s">
        <v>117</v>
      </c>
      <c r="M91">
        <v>4</v>
      </c>
      <c r="N91">
        <v>2.536</v>
      </c>
    </row>
    <row r="92" spans="9:14" x14ac:dyDescent="0.2">
      <c r="I92" t="s">
        <v>78</v>
      </c>
      <c r="J92" t="s">
        <v>115</v>
      </c>
      <c r="K92">
        <v>6</v>
      </c>
      <c r="L92" t="s">
        <v>118</v>
      </c>
      <c r="M92">
        <v>5</v>
      </c>
      <c r="N92">
        <v>2.5550000000000002</v>
      </c>
    </row>
    <row r="93" spans="9:14" x14ac:dyDescent="0.2">
      <c r="I93" t="s">
        <v>78</v>
      </c>
      <c r="J93" t="s">
        <v>115</v>
      </c>
      <c r="K93">
        <v>7</v>
      </c>
      <c r="L93" t="s">
        <v>119</v>
      </c>
      <c r="M93">
        <v>4</v>
      </c>
      <c r="N93">
        <v>2.5459999999999998</v>
      </c>
    </row>
    <row r="94" spans="9:14" x14ac:dyDescent="0.2">
      <c r="I94" t="s">
        <v>78</v>
      </c>
      <c r="J94" t="s">
        <v>115</v>
      </c>
      <c r="K94">
        <v>8</v>
      </c>
      <c r="L94" t="s">
        <v>120</v>
      </c>
      <c r="M94">
        <v>4</v>
      </c>
      <c r="N94">
        <v>2.556</v>
      </c>
    </row>
    <row r="95" spans="9:14" x14ac:dyDescent="0.2">
      <c r="I95" t="s">
        <v>78</v>
      </c>
      <c r="J95" t="s">
        <v>115</v>
      </c>
      <c r="K95">
        <v>9</v>
      </c>
      <c r="L95" t="s">
        <v>121</v>
      </c>
      <c r="M95">
        <v>4</v>
      </c>
      <c r="N95">
        <v>2.621</v>
      </c>
    </row>
    <row r="96" spans="9:14" x14ac:dyDescent="0.2">
      <c r="I96" t="s">
        <v>78</v>
      </c>
      <c r="J96" t="s">
        <v>115</v>
      </c>
      <c r="K96">
        <v>10</v>
      </c>
      <c r="L96" t="s">
        <v>122</v>
      </c>
      <c r="M96">
        <v>3</v>
      </c>
      <c r="N96">
        <v>2.6219999999999999</v>
      </c>
    </row>
    <row r="97" spans="9:14" x14ac:dyDescent="0.2">
      <c r="I97" t="s">
        <v>78</v>
      </c>
      <c r="J97" t="s">
        <v>115</v>
      </c>
      <c r="K97">
        <v>11</v>
      </c>
      <c r="L97" t="s">
        <v>123</v>
      </c>
      <c r="M97">
        <v>4</v>
      </c>
      <c r="N97">
        <v>2.488</v>
      </c>
    </row>
    <row r="98" spans="9:14" x14ac:dyDescent="0.2">
      <c r="I98" t="s">
        <v>78</v>
      </c>
      <c r="J98" t="s">
        <v>115</v>
      </c>
      <c r="K98">
        <v>12</v>
      </c>
      <c r="L98" t="s">
        <v>124</v>
      </c>
      <c r="M98">
        <v>3</v>
      </c>
      <c r="N98">
        <v>2.4790000000000001</v>
      </c>
    </row>
    <row r="99" spans="9:14" x14ac:dyDescent="0.2">
      <c r="I99" t="s">
        <v>78</v>
      </c>
      <c r="J99" t="s">
        <v>115</v>
      </c>
      <c r="K99">
        <v>13</v>
      </c>
      <c r="L99" t="s">
        <v>125</v>
      </c>
      <c r="M99">
        <v>5</v>
      </c>
      <c r="N99">
        <v>2.5819999999999999</v>
      </c>
    </row>
    <row r="100" spans="9:14" x14ac:dyDescent="0.2">
      <c r="I100" t="s">
        <v>78</v>
      </c>
      <c r="J100" t="s">
        <v>115</v>
      </c>
      <c r="K100">
        <v>14</v>
      </c>
      <c r="L100" t="s">
        <v>126</v>
      </c>
      <c r="M100">
        <v>5</v>
      </c>
      <c r="N100">
        <v>2.5150000000000001</v>
      </c>
    </row>
    <row r="101" spans="9:14" x14ac:dyDescent="0.2">
      <c r="I101" t="s">
        <v>78</v>
      </c>
      <c r="J101" t="s">
        <v>115</v>
      </c>
      <c r="K101">
        <v>15</v>
      </c>
      <c r="L101" t="s">
        <v>127</v>
      </c>
      <c r="M101">
        <v>6</v>
      </c>
      <c r="N101">
        <v>2.6190000000000002</v>
      </c>
    </row>
    <row r="102" spans="9:14" x14ac:dyDescent="0.2">
      <c r="I102" t="s">
        <v>78</v>
      </c>
      <c r="J102" t="s">
        <v>115</v>
      </c>
      <c r="K102">
        <v>16</v>
      </c>
      <c r="L102" t="s">
        <v>128</v>
      </c>
      <c r="M102">
        <v>5</v>
      </c>
      <c r="N102" t="s">
        <v>21</v>
      </c>
    </row>
    <row r="103" spans="9:14" x14ac:dyDescent="0.2">
      <c r="I103" t="s">
        <v>78</v>
      </c>
      <c r="J103" t="s">
        <v>115</v>
      </c>
      <c r="K103">
        <v>17</v>
      </c>
      <c r="L103" t="s">
        <v>129</v>
      </c>
      <c r="M103">
        <v>4</v>
      </c>
      <c r="N10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5A31-5A4E-D247-A856-576699200AF4}">
  <dimension ref="A1:X82"/>
  <sheetViews>
    <sheetView tabSelected="1" workbookViewId="0">
      <selection activeCell="G1" sqref="G1:U1048576"/>
    </sheetView>
  </sheetViews>
  <sheetFormatPr baseColWidth="10" defaultRowHeight="16" x14ac:dyDescent="0.2"/>
  <cols>
    <col min="3" max="4" width="10.83203125" style="15"/>
    <col min="6" max="6" width="10.83203125" style="15"/>
    <col min="7" max="16" width="0" hidden="1" customWidth="1"/>
    <col min="17" max="17" width="12.1640625" hidden="1" customWidth="1"/>
    <col min="18" max="19" width="0" hidden="1" customWidth="1"/>
    <col min="20" max="20" width="13.1640625" hidden="1" customWidth="1"/>
    <col min="21" max="21" width="12.1640625" hidden="1" customWidth="1"/>
    <col min="22" max="22" width="21.83203125" style="15" customWidth="1"/>
    <col min="24" max="24" width="25.5" customWidth="1"/>
  </cols>
  <sheetData>
    <row r="1" spans="1:24" x14ac:dyDescent="0.2">
      <c r="A1" t="s">
        <v>130</v>
      </c>
      <c r="B1" t="s">
        <v>131</v>
      </c>
      <c r="C1" s="15" t="s">
        <v>132</v>
      </c>
      <c r="D1" s="15" t="s">
        <v>133</v>
      </c>
      <c r="E1" t="s">
        <v>134</v>
      </c>
      <c r="F1" s="15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136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s="15" t="s">
        <v>150</v>
      </c>
      <c r="W1" t="s">
        <v>151</v>
      </c>
      <c r="X1" t="s">
        <v>152</v>
      </c>
    </row>
    <row r="2" spans="1:24" x14ac:dyDescent="0.2">
      <c r="A2">
        <v>1</v>
      </c>
      <c r="B2">
        <v>1</v>
      </c>
      <c r="C2" s="15" t="s">
        <v>153</v>
      </c>
      <c r="D2" s="15" t="s">
        <v>26</v>
      </c>
      <c r="E2" t="s">
        <v>154</v>
      </c>
      <c r="F2" s="15">
        <v>10</v>
      </c>
      <c r="G2" t="s">
        <v>116</v>
      </c>
      <c r="H2">
        <v>797.83</v>
      </c>
      <c r="I2" t="s">
        <v>116</v>
      </c>
      <c r="J2">
        <v>17.510000000000002</v>
      </c>
      <c r="K2">
        <v>1</v>
      </c>
      <c r="L2" t="s">
        <v>155</v>
      </c>
      <c r="M2">
        <v>108441</v>
      </c>
      <c r="N2">
        <v>651.697</v>
      </c>
      <c r="O2">
        <v>1</v>
      </c>
      <c r="P2" t="s">
        <v>155</v>
      </c>
      <c r="Q2">
        <v>14.28</v>
      </c>
      <c r="R2">
        <v>1</v>
      </c>
      <c r="S2">
        <v>732.56</v>
      </c>
      <c r="T2">
        <v>69</v>
      </c>
      <c r="U2">
        <v>16.27</v>
      </c>
      <c r="V2" s="15">
        <v>727.36233330000005</v>
      </c>
      <c r="W2">
        <v>16.02</v>
      </c>
      <c r="X2">
        <v>16.02</v>
      </c>
    </row>
    <row r="3" spans="1:24" x14ac:dyDescent="0.2">
      <c r="A3">
        <v>2</v>
      </c>
      <c r="B3">
        <v>2</v>
      </c>
      <c r="C3" s="15" t="s">
        <v>156</v>
      </c>
      <c r="D3" s="15" t="s">
        <v>79</v>
      </c>
      <c r="E3" t="s">
        <v>157</v>
      </c>
      <c r="F3" s="15">
        <v>10</v>
      </c>
      <c r="G3" t="s">
        <v>158</v>
      </c>
      <c r="H3">
        <v>2150.9699999999998</v>
      </c>
      <c r="I3" t="s">
        <v>158</v>
      </c>
      <c r="J3">
        <v>12.81</v>
      </c>
      <c r="K3">
        <v>1</v>
      </c>
      <c r="L3" t="s">
        <v>159</v>
      </c>
      <c r="M3">
        <v>51709</v>
      </c>
      <c r="N3">
        <v>1503.2360000000001</v>
      </c>
      <c r="O3">
        <v>1</v>
      </c>
      <c r="P3" t="s">
        <v>159</v>
      </c>
      <c r="Q3">
        <v>8.6999999999999993</v>
      </c>
      <c r="R3">
        <v>1</v>
      </c>
      <c r="S3">
        <v>1531.29</v>
      </c>
      <c r="T3">
        <v>118</v>
      </c>
      <c r="U3">
        <v>9.25</v>
      </c>
      <c r="V3" s="15">
        <v>1728.4986670000001</v>
      </c>
      <c r="W3">
        <v>10.25</v>
      </c>
      <c r="X3">
        <v>10.25</v>
      </c>
    </row>
    <row r="4" spans="1:24" x14ac:dyDescent="0.2">
      <c r="A4">
        <v>3</v>
      </c>
      <c r="B4">
        <v>3</v>
      </c>
      <c r="C4" s="15" t="s">
        <v>156</v>
      </c>
      <c r="D4" s="15" t="s">
        <v>79</v>
      </c>
      <c r="E4" t="s">
        <v>160</v>
      </c>
      <c r="F4" s="15">
        <v>10</v>
      </c>
      <c r="G4" t="s">
        <v>161</v>
      </c>
      <c r="H4">
        <v>252.82</v>
      </c>
      <c r="I4" t="s">
        <v>161</v>
      </c>
      <c r="J4">
        <v>10.51</v>
      </c>
      <c r="K4">
        <v>1</v>
      </c>
      <c r="L4" t="s">
        <v>162</v>
      </c>
      <c r="M4">
        <v>60545</v>
      </c>
      <c r="N4">
        <v>180.17400000000001</v>
      </c>
      <c r="O4">
        <v>1</v>
      </c>
      <c r="P4" t="s">
        <v>162</v>
      </c>
      <c r="Q4">
        <v>6.71</v>
      </c>
      <c r="R4">
        <v>1</v>
      </c>
      <c r="S4">
        <v>176.44</v>
      </c>
      <c r="T4">
        <v>46</v>
      </c>
      <c r="U4">
        <v>6.73</v>
      </c>
      <c r="V4" s="15">
        <v>203.14466669999999</v>
      </c>
      <c r="W4">
        <v>7.98</v>
      </c>
      <c r="X4">
        <v>7.98</v>
      </c>
    </row>
    <row r="5" spans="1:24" x14ac:dyDescent="0.2">
      <c r="A5">
        <v>4</v>
      </c>
      <c r="B5">
        <v>4</v>
      </c>
      <c r="C5" s="15" t="s">
        <v>153</v>
      </c>
      <c r="D5" s="15" t="s">
        <v>60</v>
      </c>
      <c r="E5" t="s">
        <v>163</v>
      </c>
      <c r="F5" s="15">
        <v>10</v>
      </c>
      <c r="G5" t="s">
        <v>164</v>
      </c>
      <c r="H5">
        <v>1099.4000000000001</v>
      </c>
      <c r="I5" t="s">
        <v>164</v>
      </c>
      <c r="J5">
        <v>25.36</v>
      </c>
      <c r="K5">
        <v>1</v>
      </c>
      <c r="L5" t="s">
        <v>165</v>
      </c>
      <c r="M5">
        <v>168995</v>
      </c>
      <c r="N5">
        <v>904.45600000000002</v>
      </c>
      <c r="O5">
        <v>1</v>
      </c>
      <c r="P5" t="s">
        <v>165</v>
      </c>
      <c r="Q5">
        <v>20.7</v>
      </c>
      <c r="R5">
        <v>1</v>
      </c>
      <c r="S5">
        <v>1004.82</v>
      </c>
      <c r="T5">
        <v>99</v>
      </c>
      <c r="U5">
        <v>22.92</v>
      </c>
      <c r="V5" s="15">
        <v>1002.8920000000001</v>
      </c>
      <c r="W5">
        <v>22.99</v>
      </c>
      <c r="X5">
        <v>22.99</v>
      </c>
    </row>
    <row r="6" spans="1:24" x14ac:dyDescent="0.2">
      <c r="A6">
        <v>5</v>
      </c>
      <c r="B6">
        <v>5</v>
      </c>
      <c r="C6" s="15" t="s">
        <v>153</v>
      </c>
      <c r="D6" s="15" t="s">
        <v>60</v>
      </c>
      <c r="E6" t="s">
        <v>166</v>
      </c>
      <c r="F6" s="15">
        <v>10</v>
      </c>
      <c r="G6" t="s">
        <v>124</v>
      </c>
      <c r="H6">
        <v>35.71</v>
      </c>
      <c r="I6" t="s">
        <v>124</v>
      </c>
      <c r="J6">
        <v>0.19</v>
      </c>
      <c r="K6">
        <v>1</v>
      </c>
      <c r="L6" t="s">
        <v>167</v>
      </c>
      <c r="M6">
        <v>0</v>
      </c>
      <c r="N6">
        <v>29.85</v>
      </c>
      <c r="O6">
        <v>1</v>
      </c>
      <c r="P6" t="s">
        <v>167</v>
      </c>
      <c r="Q6">
        <v>0.47</v>
      </c>
      <c r="R6">
        <v>0</v>
      </c>
      <c r="S6">
        <v>29.18</v>
      </c>
      <c r="T6">
        <v>17</v>
      </c>
      <c r="U6">
        <v>0</v>
      </c>
      <c r="V6" s="15">
        <v>31.58</v>
      </c>
      <c r="W6">
        <v>0.22</v>
      </c>
      <c r="X6">
        <v>0</v>
      </c>
    </row>
    <row r="7" spans="1:24" x14ac:dyDescent="0.2">
      <c r="A7">
        <v>6</v>
      </c>
      <c r="B7">
        <v>6</v>
      </c>
      <c r="C7" s="15" t="s">
        <v>156</v>
      </c>
      <c r="D7" s="15" t="s">
        <v>115</v>
      </c>
      <c r="E7" t="s">
        <v>168</v>
      </c>
      <c r="F7" s="15">
        <v>10</v>
      </c>
      <c r="G7" t="s">
        <v>169</v>
      </c>
      <c r="H7">
        <v>799.9</v>
      </c>
      <c r="I7" t="s">
        <v>169</v>
      </c>
      <c r="J7">
        <v>12.87</v>
      </c>
      <c r="K7">
        <v>1</v>
      </c>
      <c r="L7" t="s">
        <v>170</v>
      </c>
      <c r="M7">
        <v>73870</v>
      </c>
      <c r="N7">
        <v>701.06399999999996</v>
      </c>
      <c r="O7">
        <v>1</v>
      </c>
      <c r="P7" t="s">
        <v>170</v>
      </c>
      <c r="Q7">
        <v>10.96</v>
      </c>
      <c r="R7">
        <v>1</v>
      </c>
      <c r="S7">
        <v>733.44</v>
      </c>
      <c r="T7">
        <v>174</v>
      </c>
      <c r="U7">
        <v>12.73</v>
      </c>
      <c r="V7" s="15">
        <v>744.80133330000001</v>
      </c>
      <c r="W7">
        <v>12.19</v>
      </c>
      <c r="X7">
        <v>12.19</v>
      </c>
    </row>
    <row r="8" spans="1:24" x14ac:dyDescent="0.2">
      <c r="A8">
        <v>7</v>
      </c>
      <c r="B8">
        <v>7</v>
      </c>
      <c r="C8" s="15" t="s">
        <v>156</v>
      </c>
      <c r="D8" s="15" t="s">
        <v>115</v>
      </c>
      <c r="E8" t="s">
        <v>171</v>
      </c>
      <c r="F8" s="15">
        <v>10</v>
      </c>
      <c r="G8" t="s">
        <v>172</v>
      </c>
      <c r="H8">
        <v>393.6</v>
      </c>
      <c r="I8" t="s">
        <v>172</v>
      </c>
      <c r="J8">
        <v>7.34</v>
      </c>
      <c r="K8">
        <v>1</v>
      </c>
      <c r="L8" t="s">
        <v>173</v>
      </c>
      <c r="M8">
        <v>40993</v>
      </c>
      <c r="N8">
        <v>256.51100000000002</v>
      </c>
      <c r="O8">
        <v>1</v>
      </c>
      <c r="P8" t="s">
        <v>173</v>
      </c>
      <c r="Q8">
        <v>4.6399999999999997</v>
      </c>
      <c r="R8">
        <v>1</v>
      </c>
      <c r="S8">
        <v>300.92</v>
      </c>
      <c r="T8">
        <v>47</v>
      </c>
      <c r="U8">
        <v>5.6</v>
      </c>
      <c r="V8" s="15">
        <v>317.01033330000001</v>
      </c>
      <c r="W8">
        <v>5.86</v>
      </c>
      <c r="X8">
        <v>5.86</v>
      </c>
    </row>
    <row r="9" spans="1:24" x14ac:dyDescent="0.2">
      <c r="A9">
        <v>8</v>
      </c>
      <c r="B9">
        <v>8</v>
      </c>
      <c r="C9" s="15" t="s">
        <v>153</v>
      </c>
      <c r="D9" s="15" t="s">
        <v>60</v>
      </c>
      <c r="E9" t="s">
        <v>174</v>
      </c>
      <c r="F9" s="15">
        <v>10</v>
      </c>
      <c r="G9" t="s">
        <v>127</v>
      </c>
      <c r="H9">
        <v>969.33</v>
      </c>
      <c r="I9" t="s">
        <v>127</v>
      </c>
      <c r="J9">
        <v>2.9</v>
      </c>
      <c r="K9">
        <v>1</v>
      </c>
      <c r="L9" t="s">
        <v>175</v>
      </c>
      <c r="M9">
        <v>17197</v>
      </c>
      <c r="N9">
        <v>762.64599999999996</v>
      </c>
      <c r="O9">
        <v>1</v>
      </c>
      <c r="P9" t="s">
        <v>175</v>
      </c>
      <c r="Q9">
        <v>2.21</v>
      </c>
      <c r="R9">
        <v>1</v>
      </c>
      <c r="S9">
        <v>790.37</v>
      </c>
      <c r="T9">
        <v>146</v>
      </c>
      <c r="U9">
        <v>2.29</v>
      </c>
      <c r="V9" s="15">
        <v>840.78200000000004</v>
      </c>
      <c r="W9">
        <v>2.4700000000000002</v>
      </c>
      <c r="X9">
        <v>2.4700000000000002</v>
      </c>
    </row>
    <row r="10" spans="1:24" x14ac:dyDescent="0.2">
      <c r="A10">
        <v>9</v>
      </c>
      <c r="B10">
        <v>9</v>
      </c>
      <c r="C10" s="15" t="s">
        <v>153</v>
      </c>
      <c r="D10" s="15" t="s">
        <v>44</v>
      </c>
      <c r="E10" t="s">
        <v>176</v>
      </c>
      <c r="F10" s="15">
        <v>10</v>
      </c>
      <c r="G10" t="s">
        <v>129</v>
      </c>
      <c r="H10">
        <v>1616.77</v>
      </c>
      <c r="I10" t="s">
        <v>129</v>
      </c>
      <c r="J10">
        <v>8.51</v>
      </c>
      <c r="K10">
        <v>1</v>
      </c>
      <c r="L10" t="s">
        <v>177</v>
      </c>
      <c r="M10">
        <v>48181</v>
      </c>
      <c r="N10">
        <v>1447.865</v>
      </c>
      <c r="O10">
        <v>1</v>
      </c>
      <c r="P10" t="s">
        <v>177</v>
      </c>
      <c r="Q10">
        <v>7.62</v>
      </c>
      <c r="R10">
        <v>1</v>
      </c>
      <c r="S10">
        <v>1466.82</v>
      </c>
      <c r="T10">
        <v>224</v>
      </c>
      <c r="U10">
        <v>7.84</v>
      </c>
      <c r="V10" s="15">
        <v>1510.4849999999999</v>
      </c>
      <c r="W10">
        <v>7.99</v>
      </c>
      <c r="X10">
        <v>7.99</v>
      </c>
    </row>
    <row r="11" spans="1:24" x14ac:dyDescent="0.2">
      <c r="A11">
        <v>10</v>
      </c>
      <c r="B11">
        <v>10</v>
      </c>
      <c r="C11" s="15" t="s">
        <v>156</v>
      </c>
      <c r="D11" s="15" t="s">
        <v>115</v>
      </c>
      <c r="E11" t="s">
        <v>178</v>
      </c>
      <c r="F11" s="15">
        <v>10</v>
      </c>
      <c r="G11" t="s">
        <v>179</v>
      </c>
      <c r="H11">
        <v>699.05</v>
      </c>
      <c r="I11" t="s">
        <v>179</v>
      </c>
      <c r="J11">
        <v>16.86</v>
      </c>
      <c r="K11">
        <v>1</v>
      </c>
      <c r="L11" t="s">
        <v>180</v>
      </c>
      <c r="M11">
        <v>79109</v>
      </c>
      <c r="N11">
        <v>448.10300000000001</v>
      </c>
      <c r="O11">
        <v>1</v>
      </c>
      <c r="P11" t="s">
        <v>180</v>
      </c>
      <c r="Q11">
        <v>10.32</v>
      </c>
      <c r="R11">
        <v>1</v>
      </c>
      <c r="S11">
        <v>584.94000000000005</v>
      </c>
      <c r="T11">
        <v>54</v>
      </c>
      <c r="U11">
        <v>14.14</v>
      </c>
      <c r="V11" s="15">
        <v>577.3643333</v>
      </c>
      <c r="W11">
        <v>13.77</v>
      </c>
      <c r="X11">
        <v>13.77</v>
      </c>
    </row>
    <row r="12" spans="1:24" x14ac:dyDescent="0.2">
      <c r="A12">
        <v>11</v>
      </c>
      <c r="B12">
        <v>11</v>
      </c>
      <c r="C12" s="15" t="s">
        <v>156</v>
      </c>
      <c r="D12" s="15" t="s">
        <v>115</v>
      </c>
      <c r="E12" t="s">
        <v>181</v>
      </c>
      <c r="F12" s="15">
        <v>10</v>
      </c>
      <c r="G12" t="s">
        <v>182</v>
      </c>
      <c r="H12">
        <v>1383.71</v>
      </c>
      <c r="I12" t="s">
        <v>182</v>
      </c>
      <c r="J12">
        <v>13.61</v>
      </c>
      <c r="K12">
        <v>1</v>
      </c>
      <c r="L12" t="s">
        <v>183</v>
      </c>
      <c r="M12">
        <v>88663</v>
      </c>
      <c r="N12">
        <v>1413.0340000000001</v>
      </c>
      <c r="O12">
        <v>1</v>
      </c>
      <c r="P12" t="s">
        <v>183</v>
      </c>
      <c r="Q12">
        <v>12.52</v>
      </c>
      <c r="R12">
        <v>1</v>
      </c>
      <c r="S12">
        <v>1426.45</v>
      </c>
      <c r="T12">
        <v>95</v>
      </c>
      <c r="U12">
        <v>14.14</v>
      </c>
      <c r="V12" s="15">
        <v>1407.7313329999999</v>
      </c>
      <c r="W12">
        <v>13.42</v>
      </c>
      <c r="X12">
        <v>13.42</v>
      </c>
    </row>
    <row r="13" spans="1:24" x14ac:dyDescent="0.2">
      <c r="A13">
        <v>12</v>
      </c>
      <c r="B13">
        <v>12</v>
      </c>
      <c r="C13" s="15" t="s">
        <v>153</v>
      </c>
      <c r="D13" s="15" t="s">
        <v>60</v>
      </c>
      <c r="E13" t="s">
        <v>184</v>
      </c>
      <c r="F13" s="15">
        <v>10</v>
      </c>
      <c r="G13" t="s">
        <v>185</v>
      </c>
      <c r="H13">
        <v>294.17</v>
      </c>
      <c r="I13" t="s">
        <v>185</v>
      </c>
      <c r="J13">
        <v>0.17</v>
      </c>
      <c r="K13">
        <v>1</v>
      </c>
      <c r="L13" t="s">
        <v>186</v>
      </c>
      <c r="M13">
        <v>832</v>
      </c>
      <c r="N13">
        <v>210.90299999999999</v>
      </c>
      <c r="O13">
        <v>1</v>
      </c>
      <c r="P13" t="s">
        <v>186</v>
      </c>
      <c r="Q13">
        <v>0.11</v>
      </c>
      <c r="R13">
        <v>1</v>
      </c>
      <c r="S13">
        <v>236.6</v>
      </c>
      <c r="T13">
        <v>68</v>
      </c>
      <c r="U13">
        <v>0.13</v>
      </c>
      <c r="V13" s="15">
        <v>247.22433330000001</v>
      </c>
      <c r="W13">
        <v>0.14000000000000001</v>
      </c>
      <c r="X13">
        <v>0.14000000000000001</v>
      </c>
    </row>
    <row r="14" spans="1:24" x14ac:dyDescent="0.2">
      <c r="A14">
        <v>14</v>
      </c>
      <c r="B14">
        <v>14</v>
      </c>
      <c r="C14" s="15" t="s">
        <v>156</v>
      </c>
      <c r="D14" s="15" t="s">
        <v>97</v>
      </c>
      <c r="E14" t="s">
        <v>187</v>
      </c>
      <c r="F14" s="15">
        <v>10</v>
      </c>
      <c r="G14" t="s">
        <v>188</v>
      </c>
      <c r="H14">
        <v>579.11</v>
      </c>
      <c r="I14" t="s">
        <v>188</v>
      </c>
      <c r="J14">
        <v>11.9</v>
      </c>
      <c r="K14">
        <v>1</v>
      </c>
      <c r="L14" t="s">
        <v>189</v>
      </c>
      <c r="M14">
        <v>72739</v>
      </c>
      <c r="N14">
        <v>474.55200000000002</v>
      </c>
      <c r="O14">
        <v>1</v>
      </c>
      <c r="P14" t="s">
        <v>189</v>
      </c>
      <c r="Q14">
        <v>9.69</v>
      </c>
      <c r="R14">
        <v>1</v>
      </c>
      <c r="S14">
        <v>491.65</v>
      </c>
      <c r="T14">
        <v>57</v>
      </c>
      <c r="U14">
        <v>10.11</v>
      </c>
      <c r="V14" s="15">
        <v>515.10400000000004</v>
      </c>
      <c r="W14">
        <v>10.57</v>
      </c>
      <c r="X14">
        <v>10.57</v>
      </c>
    </row>
    <row r="15" spans="1:24" x14ac:dyDescent="0.2">
      <c r="A15">
        <v>15</v>
      </c>
      <c r="B15">
        <v>15</v>
      </c>
      <c r="C15" s="15" t="s">
        <v>153</v>
      </c>
      <c r="D15" s="15" t="s">
        <v>26</v>
      </c>
      <c r="E15" t="s">
        <v>190</v>
      </c>
      <c r="F15" s="15">
        <v>10</v>
      </c>
      <c r="G15" t="s">
        <v>191</v>
      </c>
      <c r="H15">
        <v>297.97000000000003</v>
      </c>
      <c r="I15" t="s">
        <v>191</v>
      </c>
      <c r="J15">
        <v>7.55</v>
      </c>
      <c r="K15">
        <v>1</v>
      </c>
      <c r="L15" t="s">
        <v>192</v>
      </c>
      <c r="M15">
        <v>54108</v>
      </c>
      <c r="N15">
        <v>261.58</v>
      </c>
      <c r="O15">
        <v>1</v>
      </c>
      <c r="P15" t="s">
        <v>192</v>
      </c>
      <c r="Q15">
        <v>6.57</v>
      </c>
      <c r="R15">
        <v>1</v>
      </c>
      <c r="S15">
        <v>257.24</v>
      </c>
      <c r="T15">
        <v>43</v>
      </c>
      <c r="U15">
        <v>6.5</v>
      </c>
      <c r="V15" s="15">
        <v>272.2633333</v>
      </c>
      <c r="W15">
        <v>6.87</v>
      </c>
      <c r="X15">
        <v>6.87</v>
      </c>
    </row>
    <row r="16" spans="1:24" x14ac:dyDescent="0.2">
      <c r="A16">
        <v>16</v>
      </c>
      <c r="B16">
        <v>16</v>
      </c>
      <c r="C16" s="15" t="s">
        <v>156</v>
      </c>
      <c r="D16" s="15" t="s">
        <v>79</v>
      </c>
      <c r="E16" t="s">
        <v>193</v>
      </c>
      <c r="F16" s="15">
        <v>10</v>
      </c>
      <c r="G16" t="s">
        <v>194</v>
      </c>
      <c r="H16">
        <v>351.03</v>
      </c>
      <c r="I16" t="s">
        <v>194</v>
      </c>
      <c r="J16">
        <v>12.04</v>
      </c>
      <c r="K16">
        <v>1</v>
      </c>
      <c r="L16" t="s">
        <v>195</v>
      </c>
      <c r="M16">
        <v>70191</v>
      </c>
      <c r="N16">
        <v>254.416</v>
      </c>
      <c r="O16">
        <v>1</v>
      </c>
      <c r="P16" t="s">
        <v>195</v>
      </c>
      <c r="Q16">
        <v>8.5500000000000007</v>
      </c>
      <c r="R16">
        <v>1</v>
      </c>
      <c r="S16">
        <v>266.95</v>
      </c>
      <c r="T16">
        <v>37</v>
      </c>
      <c r="U16">
        <v>8.99</v>
      </c>
      <c r="V16" s="15">
        <v>290.79866670000001</v>
      </c>
      <c r="W16">
        <v>9.86</v>
      </c>
      <c r="X16">
        <v>9.86</v>
      </c>
    </row>
    <row r="17" spans="1:24" x14ac:dyDescent="0.2">
      <c r="A17">
        <v>17</v>
      </c>
      <c r="B17">
        <v>17</v>
      </c>
      <c r="C17" s="15" t="s">
        <v>153</v>
      </c>
      <c r="D17" s="15" t="s">
        <v>26</v>
      </c>
      <c r="E17" t="s">
        <v>196</v>
      </c>
      <c r="F17" s="15">
        <v>10</v>
      </c>
      <c r="G17" t="s">
        <v>197</v>
      </c>
      <c r="H17">
        <v>233.06</v>
      </c>
      <c r="I17" t="s">
        <v>197</v>
      </c>
      <c r="J17">
        <v>9.74</v>
      </c>
      <c r="K17">
        <v>1</v>
      </c>
      <c r="L17" t="s">
        <v>198</v>
      </c>
      <c r="M17">
        <v>66148</v>
      </c>
      <c r="N17">
        <v>157.11799999999999</v>
      </c>
      <c r="O17">
        <v>1</v>
      </c>
      <c r="P17" t="s">
        <v>198</v>
      </c>
      <c r="Q17">
        <v>6.31</v>
      </c>
      <c r="R17">
        <v>1</v>
      </c>
      <c r="S17">
        <v>179.26</v>
      </c>
      <c r="T17">
        <v>31</v>
      </c>
      <c r="U17">
        <v>7.38</v>
      </c>
      <c r="V17" s="15">
        <v>189.81266669999999</v>
      </c>
      <c r="W17">
        <v>7.81</v>
      </c>
      <c r="X17">
        <v>7.81</v>
      </c>
    </row>
    <row r="18" spans="1:24" x14ac:dyDescent="0.2">
      <c r="A18">
        <v>18</v>
      </c>
      <c r="B18">
        <v>18</v>
      </c>
      <c r="C18" s="15" t="s">
        <v>156</v>
      </c>
      <c r="D18" s="15" t="s">
        <v>97</v>
      </c>
      <c r="E18" t="s">
        <v>199</v>
      </c>
      <c r="F18" s="15">
        <v>10</v>
      </c>
      <c r="G18" t="s">
        <v>200</v>
      </c>
      <c r="H18">
        <v>316.31</v>
      </c>
      <c r="I18" t="s">
        <v>200</v>
      </c>
      <c r="J18">
        <v>9.6199999999999992</v>
      </c>
      <c r="K18">
        <v>1</v>
      </c>
      <c r="L18" t="s">
        <v>201</v>
      </c>
      <c r="M18">
        <v>49176</v>
      </c>
      <c r="N18">
        <v>249.56100000000001</v>
      </c>
      <c r="O18">
        <v>1</v>
      </c>
      <c r="P18" t="s">
        <v>201</v>
      </c>
      <c r="Q18">
        <v>7.53</v>
      </c>
      <c r="R18">
        <v>1</v>
      </c>
      <c r="S18">
        <v>287.57</v>
      </c>
      <c r="T18">
        <v>34</v>
      </c>
      <c r="U18">
        <v>8.8000000000000007</v>
      </c>
      <c r="V18" s="15">
        <v>284.48033329999998</v>
      </c>
      <c r="W18">
        <v>8.65</v>
      </c>
      <c r="X18">
        <v>8.65</v>
      </c>
    </row>
    <row r="19" spans="1:24" x14ac:dyDescent="0.2">
      <c r="A19">
        <v>19</v>
      </c>
      <c r="B19">
        <v>19</v>
      </c>
      <c r="C19" s="15" t="s">
        <v>153</v>
      </c>
      <c r="D19" s="15" t="s">
        <v>44</v>
      </c>
      <c r="E19" t="s">
        <v>202</v>
      </c>
      <c r="F19" s="15">
        <v>10</v>
      </c>
      <c r="G19" t="s">
        <v>203</v>
      </c>
      <c r="H19">
        <v>536.36</v>
      </c>
      <c r="I19" t="s">
        <v>203</v>
      </c>
      <c r="J19">
        <v>10.97</v>
      </c>
      <c r="K19">
        <v>1</v>
      </c>
      <c r="L19" t="s">
        <v>204</v>
      </c>
      <c r="M19">
        <v>50699</v>
      </c>
      <c r="N19">
        <v>389.71899999999999</v>
      </c>
      <c r="O19">
        <v>1</v>
      </c>
      <c r="P19" t="s">
        <v>204</v>
      </c>
      <c r="Q19">
        <v>7.27</v>
      </c>
      <c r="R19">
        <v>1</v>
      </c>
      <c r="S19">
        <v>369.6</v>
      </c>
      <c r="T19">
        <v>27</v>
      </c>
      <c r="U19">
        <v>7.95</v>
      </c>
      <c r="V19" s="15">
        <v>431.89299999999997</v>
      </c>
      <c r="W19">
        <v>8.73</v>
      </c>
      <c r="X19">
        <v>8.73</v>
      </c>
    </row>
    <row r="20" spans="1:24" x14ac:dyDescent="0.2">
      <c r="A20">
        <v>20</v>
      </c>
      <c r="B20">
        <v>20</v>
      </c>
      <c r="C20" s="15" t="s">
        <v>156</v>
      </c>
      <c r="D20" s="15" t="s">
        <v>79</v>
      </c>
      <c r="E20" t="s">
        <v>205</v>
      </c>
      <c r="F20" s="15">
        <v>10</v>
      </c>
      <c r="G20" t="s">
        <v>206</v>
      </c>
      <c r="H20">
        <v>202.26</v>
      </c>
      <c r="I20" t="s">
        <v>206</v>
      </c>
      <c r="J20">
        <v>11.35</v>
      </c>
      <c r="K20">
        <v>1</v>
      </c>
      <c r="L20" t="s">
        <v>207</v>
      </c>
      <c r="M20">
        <v>63501</v>
      </c>
      <c r="N20">
        <v>165.32400000000001</v>
      </c>
      <c r="O20">
        <v>1</v>
      </c>
      <c r="P20" t="s">
        <v>207</v>
      </c>
      <c r="Q20">
        <v>9.18</v>
      </c>
      <c r="R20">
        <v>1</v>
      </c>
      <c r="S20">
        <v>175.86</v>
      </c>
      <c r="T20">
        <v>41</v>
      </c>
      <c r="U20">
        <v>10.220000000000001</v>
      </c>
      <c r="V20" s="15">
        <v>181.148</v>
      </c>
      <c r="W20">
        <v>10.25</v>
      </c>
      <c r="X20">
        <v>10.25</v>
      </c>
    </row>
    <row r="21" spans="1:24" x14ac:dyDescent="0.2">
      <c r="A21">
        <v>21</v>
      </c>
      <c r="B21">
        <v>21</v>
      </c>
      <c r="C21" s="15" t="s">
        <v>153</v>
      </c>
      <c r="D21" s="15" t="s">
        <v>26</v>
      </c>
      <c r="E21" t="s">
        <v>208</v>
      </c>
      <c r="F21" s="15">
        <v>10</v>
      </c>
      <c r="G21" t="s">
        <v>209</v>
      </c>
      <c r="H21">
        <v>583.28</v>
      </c>
      <c r="I21" t="s">
        <v>209</v>
      </c>
      <c r="J21">
        <v>8.8000000000000007</v>
      </c>
      <c r="K21">
        <v>1</v>
      </c>
      <c r="L21" t="s">
        <v>210</v>
      </c>
      <c r="M21">
        <v>53302</v>
      </c>
      <c r="N21">
        <v>516.48199999999997</v>
      </c>
      <c r="O21">
        <v>1</v>
      </c>
      <c r="P21" t="s">
        <v>210</v>
      </c>
      <c r="Q21">
        <v>7.97</v>
      </c>
      <c r="R21">
        <v>1</v>
      </c>
      <c r="S21">
        <v>557.16999999999996</v>
      </c>
      <c r="T21">
        <v>118</v>
      </c>
      <c r="U21">
        <v>8.58</v>
      </c>
      <c r="V21" s="15">
        <v>552.31066669999996</v>
      </c>
      <c r="W21">
        <v>8.4499999999999993</v>
      </c>
      <c r="X21">
        <v>8.4499999999999993</v>
      </c>
    </row>
    <row r="22" spans="1:24" x14ac:dyDescent="0.2">
      <c r="A22">
        <v>22</v>
      </c>
      <c r="B22">
        <v>22</v>
      </c>
      <c r="C22" s="15" t="s">
        <v>156</v>
      </c>
      <c r="D22" s="15" t="s">
        <v>79</v>
      </c>
      <c r="E22" t="s">
        <v>211</v>
      </c>
      <c r="F22" s="15">
        <v>10</v>
      </c>
      <c r="G22" t="s">
        <v>212</v>
      </c>
      <c r="H22">
        <v>892.74</v>
      </c>
      <c r="I22" t="s">
        <v>212</v>
      </c>
      <c r="J22">
        <v>14.2</v>
      </c>
      <c r="K22">
        <v>1</v>
      </c>
      <c r="L22" t="s">
        <v>213</v>
      </c>
      <c r="M22">
        <v>71471</v>
      </c>
      <c r="N22">
        <v>661.77599999999995</v>
      </c>
      <c r="O22">
        <v>1</v>
      </c>
      <c r="P22" t="s">
        <v>213</v>
      </c>
      <c r="Q22">
        <v>10.29</v>
      </c>
      <c r="R22">
        <v>1</v>
      </c>
      <c r="S22">
        <v>698.58</v>
      </c>
      <c r="T22">
        <v>92</v>
      </c>
      <c r="U22">
        <v>10.92</v>
      </c>
      <c r="V22" s="15">
        <v>751.03200000000004</v>
      </c>
      <c r="W22">
        <v>11.8</v>
      </c>
      <c r="X22">
        <v>11.8</v>
      </c>
    </row>
    <row r="23" spans="1:24" x14ac:dyDescent="0.2">
      <c r="A23">
        <v>23</v>
      </c>
      <c r="B23">
        <v>23</v>
      </c>
      <c r="C23" s="15" t="s">
        <v>153</v>
      </c>
      <c r="D23" s="15" t="s">
        <v>26</v>
      </c>
      <c r="E23" t="s">
        <v>214</v>
      </c>
      <c r="F23" s="15">
        <v>10</v>
      </c>
      <c r="G23" t="s">
        <v>215</v>
      </c>
      <c r="H23">
        <v>75.8</v>
      </c>
      <c r="I23" t="s">
        <v>215</v>
      </c>
      <c r="J23">
        <v>0.01</v>
      </c>
      <c r="K23">
        <v>1</v>
      </c>
      <c r="L23" t="s">
        <v>216</v>
      </c>
      <c r="M23">
        <v>0</v>
      </c>
      <c r="N23">
        <v>67.510000000000005</v>
      </c>
      <c r="O23">
        <v>1</v>
      </c>
      <c r="P23" t="s">
        <v>216</v>
      </c>
      <c r="Q23">
        <v>0.02</v>
      </c>
      <c r="R23">
        <v>0</v>
      </c>
      <c r="S23">
        <v>57.71</v>
      </c>
      <c r="T23">
        <v>27</v>
      </c>
      <c r="U23">
        <v>1.05</v>
      </c>
      <c r="V23" s="15">
        <v>67.006666670000001</v>
      </c>
      <c r="W23">
        <v>0.36</v>
      </c>
      <c r="X23">
        <v>0</v>
      </c>
    </row>
    <row r="24" spans="1:24" x14ac:dyDescent="0.2">
      <c r="A24">
        <v>25</v>
      </c>
      <c r="B24">
        <v>25</v>
      </c>
      <c r="C24" s="15" t="s">
        <v>156</v>
      </c>
      <c r="D24" s="15" t="s">
        <v>79</v>
      </c>
      <c r="E24" t="s">
        <v>217</v>
      </c>
      <c r="F24" s="15">
        <v>10</v>
      </c>
      <c r="G24" t="s">
        <v>218</v>
      </c>
      <c r="H24">
        <v>445.86</v>
      </c>
      <c r="I24" t="s">
        <v>218</v>
      </c>
      <c r="J24">
        <v>14.45</v>
      </c>
      <c r="K24">
        <v>1</v>
      </c>
      <c r="L24" t="s">
        <v>219</v>
      </c>
      <c r="M24">
        <v>81063</v>
      </c>
      <c r="N24">
        <v>339.435</v>
      </c>
      <c r="O24">
        <v>1</v>
      </c>
      <c r="P24" t="s">
        <v>219</v>
      </c>
      <c r="Q24">
        <v>10.58</v>
      </c>
      <c r="R24">
        <v>1</v>
      </c>
      <c r="S24">
        <v>403.68</v>
      </c>
      <c r="T24">
        <v>71</v>
      </c>
      <c r="U24">
        <v>12.92</v>
      </c>
      <c r="V24" s="15">
        <v>396.32499999999999</v>
      </c>
      <c r="W24">
        <v>12.65</v>
      </c>
      <c r="X24">
        <v>12.65</v>
      </c>
    </row>
    <row r="25" spans="1:24" x14ac:dyDescent="0.2">
      <c r="A25">
        <v>26</v>
      </c>
      <c r="B25">
        <v>26</v>
      </c>
      <c r="C25" s="15" t="s">
        <v>156</v>
      </c>
      <c r="D25" s="15" t="s">
        <v>97</v>
      </c>
      <c r="E25" t="s">
        <v>220</v>
      </c>
      <c r="F25" s="15">
        <v>10</v>
      </c>
      <c r="G25" t="s">
        <v>221</v>
      </c>
      <c r="H25">
        <v>1040.1199999999999</v>
      </c>
      <c r="I25" t="s">
        <v>221</v>
      </c>
      <c r="J25">
        <v>10.5</v>
      </c>
      <c r="K25">
        <v>1</v>
      </c>
      <c r="L25" t="s">
        <v>222</v>
      </c>
      <c r="M25">
        <v>46567</v>
      </c>
      <c r="N25">
        <v>729.18700000000001</v>
      </c>
      <c r="O25">
        <v>1</v>
      </c>
      <c r="P25" t="s">
        <v>222</v>
      </c>
      <c r="Q25">
        <v>7.28</v>
      </c>
      <c r="R25">
        <v>1</v>
      </c>
      <c r="S25">
        <v>800.58</v>
      </c>
      <c r="T25">
        <v>61</v>
      </c>
      <c r="U25">
        <v>8.1199999999999992</v>
      </c>
      <c r="V25" s="15">
        <v>856.62900000000002</v>
      </c>
      <c r="W25">
        <v>8.6300000000000008</v>
      </c>
      <c r="X25">
        <v>8.6300000000000008</v>
      </c>
    </row>
    <row r="26" spans="1:24" x14ac:dyDescent="0.2">
      <c r="A26">
        <v>27</v>
      </c>
      <c r="B26">
        <v>27</v>
      </c>
      <c r="C26" s="15" t="s">
        <v>153</v>
      </c>
      <c r="D26" s="15" t="s">
        <v>44</v>
      </c>
      <c r="E26" t="s">
        <v>223</v>
      </c>
      <c r="F26" s="15">
        <v>10</v>
      </c>
      <c r="G26" t="s">
        <v>224</v>
      </c>
      <c r="H26">
        <v>463.54</v>
      </c>
      <c r="I26" t="s">
        <v>224</v>
      </c>
      <c r="J26">
        <v>13.69</v>
      </c>
      <c r="K26">
        <v>1</v>
      </c>
      <c r="L26" t="s">
        <v>225</v>
      </c>
      <c r="M26">
        <v>88096</v>
      </c>
      <c r="N26">
        <v>338.512</v>
      </c>
      <c r="O26">
        <v>1</v>
      </c>
      <c r="P26" t="s">
        <v>225</v>
      </c>
      <c r="Q26">
        <v>9.4</v>
      </c>
      <c r="R26">
        <v>1</v>
      </c>
      <c r="S26">
        <v>355.97</v>
      </c>
      <c r="T26">
        <v>42</v>
      </c>
      <c r="U26">
        <v>9.9600000000000009</v>
      </c>
      <c r="V26" s="15">
        <v>386.00733330000003</v>
      </c>
      <c r="W26">
        <v>11.02</v>
      </c>
      <c r="X26">
        <v>11.02</v>
      </c>
    </row>
    <row r="27" spans="1:24" x14ac:dyDescent="0.2">
      <c r="A27">
        <v>28</v>
      </c>
      <c r="B27">
        <v>28</v>
      </c>
      <c r="C27" s="15" t="s">
        <v>153</v>
      </c>
      <c r="D27" s="15" t="s">
        <v>60</v>
      </c>
      <c r="E27" t="s">
        <v>226</v>
      </c>
      <c r="F27" s="15">
        <v>10</v>
      </c>
      <c r="G27" t="s">
        <v>227</v>
      </c>
      <c r="H27">
        <v>951.44</v>
      </c>
      <c r="I27" t="s">
        <v>227</v>
      </c>
      <c r="J27">
        <v>30.23</v>
      </c>
      <c r="K27">
        <v>1</v>
      </c>
      <c r="L27" t="s">
        <v>228</v>
      </c>
      <c r="M27">
        <v>9044</v>
      </c>
      <c r="N27">
        <v>773.56</v>
      </c>
      <c r="O27">
        <v>1</v>
      </c>
      <c r="P27" t="s">
        <v>228</v>
      </c>
      <c r="Q27">
        <v>1.22</v>
      </c>
      <c r="R27">
        <v>1</v>
      </c>
      <c r="S27">
        <v>833.27</v>
      </c>
      <c r="T27">
        <v>189</v>
      </c>
      <c r="U27">
        <v>25.89</v>
      </c>
      <c r="V27" s="15">
        <v>852.75666669999998</v>
      </c>
      <c r="W27">
        <v>19.11</v>
      </c>
      <c r="X27">
        <v>19.11</v>
      </c>
    </row>
    <row r="28" spans="1:24" x14ac:dyDescent="0.2">
      <c r="A28">
        <v>29</v>
      </c>
      <c r="B28">
        <v>29</v>
      </c>
      <c r="C28" s="15" t="s">
        <v>156</v>
      </c>
      <c r="D28" s="15" t="s">
        <v>97</v>
      </c>
      <c r="E28" t="s">
        <v>229</v>
      </c>
      <c r="F28" s="15">
        <v>10</v>
      </c>
      <c r="G28" t="s">
        <v>230</v>
      </c>
      <c r="H28">
        <v>62.52</v>
      </c>
      <c r="I28" t="s">
        <v>230</v>
      </c>
      <c r="J28" s="1" t="s">
        <v>231</v>
      </c>
      <c r="K28">
        <v>1</v>
      </c>
      <c r="L28" t="s">
        <v>232</v>
      </c>
      <c r="M28">
        <v>0</v>
      </c>
      <c r="N28">
        <v>62.085000000000001</v>
      </c>
      <c r="O28">
        <v>1</v>
      </c>
      <c r="P28" t="s">
        <v>232</v>
      </c>
      <c r="Q28">
        <v>0</v>
      </c>
      <c r="R28">
        <v>0</v>
      </c>
      <c r="S28">
        <v>60.92</v>
      </c>
      <c r="T28">
        <v>36</v>
      </c>
      <c r="U28">
        <v>0</v>
      </c>
      <c r="V28" s="15">
        <v>61.841666670000002</v>
      </c>
      <c r="W28">
        <v>0</v>
      </c>
      <c r="X28">
        <v>0</v>
      </c>
    </row>
    <row r="29" spans="1:24" x14ac:dyDescent="0.2">
      <c r="A29">
        <v>30</v>
      </c>
      <c r="B29">
        <v>30</v>
      </c>
      <c r="C29" s="15" t="s">
        <v>156</v>
      </c>
      <c r="D29" s="15" t="s">
        <v>97</v>
      </c>
      <c r="E29" t="s">
        <v>233</v>
      </c>
      <c r="F29" s="15">
        <v>10</v>
      </c>
      <c r="G29" t="s">
        <v>234</v>
      </c>
      <c r="H29">
        <v>775.85</v>
      </c>
      <c r="I29" t="s">
        <v>234</v>
      </c>
      <c r="J29">
        <v>15.57</v>
      </c>
      <c r="K29">
        <v>1</v>
      </c>
      <c r="L29" t="s">
        <v>235</v>
      </c>
      <c r="M29">
        <v>82609</v>
      </c>
      <c r="N29">
        <v>677.41899999999998</v>
      </c>
      <c r="O29">
        <v>1</v>
      </c>
      <c r="P29" t="s">
        <v>235</v>
      </c>
      <c r="Q29">
        <v>13.67</v>
      </c>
      <c r="R29">
        <v>1</v>
      </c>
      <c r="S29">
        <v>657.07</v>
      </c>
      <c r="T29">
        <v>63</v>
      </c>
      <c r="U29">
        <v>13.26</v>
      </c>
      <c r="V29" s="15">
        <v>703.44633329999999</v>
      </c>
      <c r="W29">
        <v>14.17</v>
      </c>
      <c r="X29">
        <v>14.17</v>
      </c>
    </row>
    <row r="30" spans="1:24" x14ac:dyDescent="0.2">
      <c r="A30">
        <v>31</v>
      </c>
      <c r="B30">
        <v>31</v>
      </c>
      <c r="C30" s="15" t="s">
        <v>156</v>
      </c>
      <c r="D30" s="15" t="s">
        <v>97</v>
      </c>
      <c r="E30" t="s">
        <v>236</v>
      </c>
      <c r="F30" s="15">
        <v>10</v>
      </c>
      <c r="G30" t="s">
        <v>237</v>
      </c>
      <c r="H30">
        <v>119.68</v>
      </c>
      <c r="I30" t="s">
        <v>237</v>
      </c>
      <c r="J30">
        <v>10.41</v>
      </c>
      <c r="K30">
        <v>1</v>
      </c>
      <c r="L30" t="s">
        <v>238</v>
      </c>
      <c r="M30">
        <v>53988</v>
      </c>
      <c r="N30">
        <v>95.174999999999997</v>
      </c>
      <c r="O30">
        <v>1</v>
      </c>
      <c r="P30" t="s">
        <v>238</v>
      </c>
      <c r="Q30">
        <v>7.68</v>
      </c>
      <c r="R30">
        <v>1</v>
      </c>
      <c r="S30">
        <v>90.75</v>
      </c>
      <c r="T30">
        <v>34</v>
      </c>
      <c r="U30">
        <v>7.62</v>
      </c>
      <c r="V30" s="15">
        <v>101.8683333</v>
      </c>
      <c r="W30">
        <v>8.57</v>
      </c>
      <c r="X30">
        <v>8.57</v>
      </c>
    </row>
    <row r="31" spans="1:24" x14ac:dyDescent="0.2">
      <c r="A31">
        <v>32</v>
      </c>
      <c r="B31">
        <v>32</v>
      </c>
      <c r="C31" s="15" t="s">
        <v>156</v>
      </c>
      <c r="D31" s="15" t="s">
        <v>79</v>
      </c>
      <c r="E31" t="s">
        <v>239</v>
      </c>
      <c r="F31" s="15">
        <v>10</v>
      </c>
      <c r="G31" t="s">
        <v>240</v>
      </c>
      <c r="H31">
        <v>563.85</v>
      </c>
      <c r="I31" t="s">
        <v>240</v>
      </c>
      <c r="J31">
        <v>11.29</v>
      </c>
      <c r="K31">
        <v>1</v>
      </c>
      <c r="L31" t="s">
        <v>241</v>
      </c>
      <c r="M31">
        <v>73365</v>
      </c>
      <c r="N31">
        <v>500.85700000000003</v>
      </c>
      <c r="O31">
        <v>1</v>
      </c>
      <c r="P31" t="s">
        <v>241</v>
      </c>
      <c r="Q31">
        <v>9.6199999999999992</v>
      </c>
      <c r="R31">
        <v>1</v>
      </c>
      <c r="S31">
        <v>511.87</v>
      </c>
      <c r="T31">
        <v>78</v>
      </c>
      <c r="U31">
        <v>10</v>
      </c>
      <c r="V31" s="15">
        <v>525.52566669999999</v>
      </c>
      <c r="W31">
        <v>10.3</v>
      </c>
      <c r="X31">
        <v>10.3</v>
      </c>
    </row>
    <row r="32" spans="1:24" x14ac:dyDescent="0.2">
      <c r="A32">
        <v>33</v>
      </c>
      <c r="B32">
        <v>33</v>
      </c>
      <c r="C32" s="15" t="s">
        <v>153</v>
      </c>
      <c r="D32" s="15" t="s">
        <v>44</v>
      </c>
      <c r="E32" t="s">
        <v>242</v>
      </c>
      <c r="F32" s="15">
        <v>10</v>
      </c>
      <c r="G32" t="s">
        <v>243</v>
      </c>
      <c r="H32">
        <v>489.2</v>
      </c>
      <c r="I32" t="s">
        <v>243</v>
      </c>
      <c r="J32">
        <v>10.82</v>
      </c>
      <c r="K32">
        <v>1</v>
      </c>
      <c r="L32" t="s">
        <v>244</v>
      </c>
      <c r="M32">
        <v>53351</v>
      </c>
      <c r="N32">
        <v>373.774</v>
      </c>
      <c r="O32">
        <v>1</v>
      </c>
      <c r="P32" t="s">
        <v>244</v>
      </c>
      <c r="Q32">
        <v>7.94</v>
      </c>
      <c r="R32">
        <v>1</v>
      </c>
      <c r="S32">
        <v>442.64</v>
      </c>
      <c r="T32">
        <v>72</v>
      </c>
      <c r="U32">
        <v>9.6999999999999993</v>
      </c>
      <c r="V32" s="15">
        <v>435.20466670000002</v>
      </c>
      <c r="W32">
        <v>9.49</v>
      </c>
      <c r="X32">
        <v>9.49</v>
      </c>
    </row>
    <row r="33" spans="1:24" x14ac:dyDescent="0.2">
      <c r="A33">
        <v>34</v>
      </c>
      <c r="B33">
        <v>34</v>
      </c>
      <c r="C33" s="15" t="s">
        <v>156</v>
      </c>
      <c r="D33" s="15" t="s">
        <v>97</v>
      </c>
      <c r="E33" t="s">
        <v>245</v>
      </c>
      <c r="F33" s="15">
        <v>10</v>
      </c>
      <c r="G33" t="s">
        <v>246</v>
      </c>
      <c r="H33">
        <v>318.04000000000002</v>
      </c>
      <c r="I33" t="s">
        <v>246</v>
      </c>
      <c r="J33">
        <v>6.94</v>
      </c>
      <c r="K33">
        <v>1</v>
      </c>
      <c r="L33" t="s">
        <v>247</v>
      </c>
      <c r="M33">
        <v>42220</v>
      </c>
      <c r="N33">
        <v>238.6</v>
      </c>
      <c r="O33">
        <v>1</v>
      </c>
      <c r="P33" t="s">
        <v>247</v>
      </c>
      <c r="Q33">
        <v>5</v>
      </c>
      <c r="R33">
        <v>1</v>
      </c>
      <c r="S33">
        <v>279.67</v>
      </c>
      <c r="T33">
        <v>35</v>
      </c>
      <c r="U33">
        <v>6.11</v>
      </c>
      <c r="V33" s="15">
        <v>278.77</v>
      </c>
      <c r="W33">
        <v>6.02</v>
      </c>
      <c r="X33">
        <v>6.02</v>
      </c>
    </row>
    <row r="34" spans="1:24" x14ac:dyDescent="0.2">
      <c r="A34">
        <v>35</v>
      </c>
      <c r="B34">
        <v>35</v>
      </c>
      <c r="C34" s="15" t="s">
        <v>153</v>
      </c>
      <c r="D34" s="15" t="s">
        <v>60</v>
      </c>
      <c r="E34" t="s">
        <v>248</v>
      </c>
      <c r="F34" s="15">
        <v>10</v>
      </c>
      <c r="G34" t="s">
        <v>249</v>
      </c>
      <c r="H34">
        <v>505.87</v>
      </c>
      <c r="I34" t="s">
        <v>249</v>
      </c>
      <c r="J34">
        <v>11.66</v>
      </c>
      <c r="K34">
        <v>1</v>
      </c>
      <c r="L34" t="s">
        <v>250</v>
      </c>
      <c r="M34">
        <v>69870</v>
      </c>
      <c r="N34">
        <v>360.10899999999998</v>
      </c>
      <c r="O34">
        <v>1</v>
      </c>
      <c r="P34" t="s">
        <v>250</v>
      </c>
      <c r="Q34">
        <v>7.76</v>
      </c>
      <c r="R34">
        <v>1</v>
      </c>
      <c r="S34">
        <v>390.11</v>
      </c>
      <c r="T34">
        <v>55</v>
      </c>
      <c r="U34">
        <v>8.6999999999999993</v>
      </c>
      <c r="V34" s="15">
        <v>418.69633329999999</v>
      </c>
      <c r="W34">
        <v>9.3699999999999992</v>
      </c>
      <c r="X34">
        <v>9.3699999999999992</v>
      </c>
    </row>
    <row r="35" spans="1:24" x14ac:dyDescent="0.2">
      <c r="A35">
        <v>36</v>
      </c>
      <c r="B35">
        <v>36</v>
      </c>
      <c r="C35" s="15" t="s">
        <v>156</v>
      </c>
      <c r="D35" s="15" t="s">
        <v>97</v>
      </c>
      <c r="E35" t="s">
        <v>251</v>
      </c>
      <c r="F35" s="15">
        <v>10</v>
      </c>
      <c r="G35" t="s">
        <v>252</v>
      </c>
      <c r="H35">
        <v>82.2</v>
      </c>
      <c r="I35" t="s">
        <v>252</v>
      </c>
      <c r="J35" s="1" t="s">
        <v>253</v>
      </c>
      <c r="K35">
        <v>1</v>
      </c>
      <c r="L35" t="s">
        <v>254</v>
      </c>
      <c r="M35">
        <v>0</v>
      </c>
      <c r="N35">
        <v>72.399000000000001</v>
      </c>
      <c r="O35">
        <v>1</v>
      </c>
      <c r="P35" t="s">
        <v>254</v>
      </c>
      <c r="Q35">
        <v>0</v>
      </c>
      <c r="R35">
        <v>0</v>
      </c>
      <c r="S35">
        <v>68.3</v>
      </c>
      <c r="T35">
        <v>33</v>
      </c>
      <c r="U35">
        <v>0</v>
      </c>
      <c r="V35" s="15">
        <v>74.299666669999993</v>
      </c>
      <c r="W35">
        <v>0</v>
      </c>
      <c r="X35">
        <v>0</v>
      </c>
    </row>
    <row r="36" spans="1:24" x14ac:dyDescent="0.2">
      <c r="A36">
        <v>37</v>
      </c>
      <c r="B36">
        <v>37</v>
      </c>
      <c r="C36" s="15" t="s">
        <v>153</v>
      </c>
      <c r="D36" s="15" t="s">
        <v>26</v>
      </c>
      <c r="E36" t="s">
        <v>255</v>
      </c>
      <c r="F36" s="15">
        <v>10</v>
      </c>
      <c r="G36" t="s">
        <v>256</v>
      </c>
      <c r="H36">
        <v>756.5</v>
      </c>
      <c r="I36" t="s">
        <v>256</v>
      </c>
      <c r="J36">
        <v>7.6</v>
      </c>
      <c r="K36">
        <v>1</v>
      </c>
      <c r="L36" t="s">
        <v>257</v>
      </c>
      <c r="M36">
        <v>39663</v>
      </c>
      <c r="N36">
        <v>640.40099999999995</v>
      </c>
      <c r="O36">
        <v>1</v>
      </c>
      <c r="P36" t="s">
        <v>257</v>
      </c>
      <c r="Q36">
        <v>6.43</v>
      </c>
      <c r="R36">
        <v>1</v>
      </c>
      <c r="S36">
        <v>648.4</v>
      </c>
      <c r="T36">
        <v>54</v>
      </c>
      <c r="U36">
        <v>6.58</v>
      </c>
      <c r="V36" s="15">
        <v>681.76700000000005</v>
      </c>
      <c r="W36">
        <v>6.87</v>
      </c>
      <c r="X36">
        <v>6.87</v>
      </c>
    </row>
    <row r="37" spans="1:24" x14ac:dyDescent="0.2">
      <c r="A37">
        <v>38</v>
      </c>
      <c r="B37">
        <v>38</v>
      </c>
      <c r="C37" s="15" t="s">
        <v>156</v>
      </c>
      <c r="D37" s="15" t="s">
        <v>115</v>
      </c>
      <c r="E37" t="s">
        <v>258</v>
      </c>
      <c r="F37" s="15">
        <v>10</v>
      </c>
      <c r="G37" t="s">
        <v>259</v>
      </c>
      <c r="H37">
        <v>602.58000000000004</v>
      </c>
      <c r="I37" t="s">
        <v>259</v>
      </c>
      <c r="J37">
        <v>12.74</v>
      </c>
      <c r="K37">
        <v>1</v>
      </c>
      <c r="L37" t="s">
        <v>260</v>
      </c>
      <c r="M37">
        <v>78489</v>
      </c>
      <c r="N37">
        <v>442.86599999999999</v>
      </c>
      <c r="O37">
        <v>1</v>
      </c>
      <c r="P37" t="s">
        <v>260</v>
      </c>
      <c r="Q37">
        <v>8.92</v>
      </c>
      <c r="R37">
        <v>1</v>
      </c>
      <c r="S37">
        <v>540.72</v>
      </c>
      <c r="T37">
        <v>95</v>
      </c>
      <c r="U37">
        <v>11.4</v>
      </c>
      <c r="V37" s="15">
        <v>528.72199999999998</v>
      </c>
      <c r="W37">
        <v>11.02</v>
      </c>
      <c r="X37">
        <v>11.02</v>
      </c>
    </row>
    <row r="38" spans="1:24" x14ac:dyDescent="0.2">
      <c r="A38">
        <v>39</v>
      </c>
      <c r="B38">
        <v>39</v>
      </c>
      <c r="C38" s="15" t="s">
        <v>156</v>
      </c>
      <c r="D38" s="15" t="s">
        <v>115</v>
      </c>
      <c r="E38" t="s">
        <v>261</v>
      </c>
      <c r="F38" s="15">
        <v>10</v>
      </c>
      <c r="G38" t="s">
        <v>262</v>
      </c>
      <c r="H38">
        <v>229.21</v>
      </c>
      <c r="I38" t="s">
        <v>262</v>
      </c>
      <c r="J38">
        <v>10.55</v>
      </c>
      <c r="K38">
        <v>1</v>
      </c>
      <c r="L38" t="s">
        <v>263</v>
      </c>
      <c r="M38">
        <v>66784</v>
      </c>
      <c r="N38">
        <v>202.887</v>
      </c>
      <c r="O38">
        <v>1</v>
      </c>
      <c r="P38" t="s">
        <v>263</v>
      </c>
      <c r="Q38">
        <v>8.48</v>
      </c>
      <c r="R38">
        <v>1</v>
      </c>
      <c r="S38">
        <v>203.34</v>
      </c>
      <c r="T38">
        <v>41</v>
      </c>
      <c r="U38">
        <v>8.48</v>
      </c>
      <c r="V38" s="15">
        <v>211.81233330000001</v>
      </c>
      <c r="W38">
        <v>9.17</v>
      </c>
      <c r="X38">
        <v>9.17</v>
      </c>
    </row>
    <row r="39" spans="1:24" x14ac:dyDescent="0.2">
      <c r="A39">
        <v>40</v>
      </c>
      <c r="B39">
        <v>40</v>
      </c>
      <c r="C39" s="15" t="s">
        <v>153</v>
      </c>
      <c r="D39" s="15" t="s">
        <v>44</v>
      </c>
      <c r="E39" t="s">
        <v>264</v>
      </c>
      <c r="F39" s="15">
        <v>10</v>
      </c>
      <c r="G39" t="s">
        <v>265</v>
      </c>
      <c r="H39">
        <v>84.79</v>
      </c>
      <c r="I39" t="s">
        <v>266</v>
      </c>
      <c r="J39">
        <v>7.08</v>
      </c>
      <c r="K39">
        <v>0</v>
      </c>
      <c r="L39" t="s">
        <v>267</v>
      </c>
      <c r="M39">
        <v>0</v>
      </c>
      <c r="N39">
        <v>84.94</v>
      </c>
      <c r="O39">
        <v>1</v>
      </c>
      <c r="P39" t="s">
        <v>267</v>
      </c>
      <c r="Q39">
        <v>7.96</v>
      </c>
      <c r="R39">
        <v>0</v>
      </c>
      <c r="S39">
        <v>86.97</v>
      </c>
      <c r="T39">
        <v>26</v>
      </c>
      <c r="U39">
        <v>7.11</v>
      </c>
      <c r="V39" s="15">
        <v>85.566666670000004</v>
      </c>
      <c r="W39">
        <v>7.38</v>
      </c>
      <c r="X39">
        <v>0</v>
      </c>
    </row>
    <row r="40" spans="1:24" x14ac:dyDescent="0.2">
      <c r="A40">
        <v>41</v>
      </c>
      <c r="B40">
        <v>41</v>
      </c>
      <c r="C40" s="15" t="s">
        <v>153</v>
      </c>
      <c r="D40" s="15" t="s">
        <v>44</v>
      </c>
      <c r="E40" t="s">
        <v>268</v>
      </c>
      <c r="F40" s="15">
        <v>10</v>
      </c>
      <c r="G40" t="s">
        <v>269</v>
      </c>
      <c r="H40">
        <v>691.72</v>
      </c>
      <c r="I40" t="s">
        <v>266</v>
      </c>
      <c r="J40">
        <v>9.3699999999999992</v>
      </c>
      <c r="K40">
        <v>0</v>
      </c>
      <c r="L40" t="s">
        <v>267</v>
      </c>
      <c r="M40">
        <v>54323</v>
      </c>
      <c r="N40">
        <v>603.09</v>
      </c>
      <c r="O40">
        <v>1</v>
      </c>
      <c r="P40" t="s">
        <v>267</v>
      </c>
      <c r="Q40">
        <v>6.78</v>
      </c>
      <c r="R40">
        <v>1</v>
      </c>
      <c r="S40">
        <v>664.31</v>
      </c>
      <c r="T40">
        <v>42</v>
      </c>
      <c r="U40">
        <v>9.09</v>
      </c>
      <c r="V40" s="15">
        <v>653.04</v>
      </c>
      <c r="W40">
        <v>8.41</v>
      </c>
      <c r="X40">
        <v>8.41</v>
      </c>
    </row>
    <row r="41" spans="1:24" x14ac:dyDescent="0.2">
      <c r="A41">
        <v>42</v>
      </c>
      <c r="B41">
        <v>42</v>
      </c>
      <c r="C41" s="15" t="s">
        <v>153</v>
      </c>
      <c r="D41" s="15" t="s">
        <v>44</v>
      </c>
      <c r="E41" t="s">
        <v>270</v>
      </c>
      <c r="F41" s="15">
        <v>10</v>
      </c>
      <c r="G41" t="s">
        <v>271</v>
      </c>
      <c r="H41">
        <v>653.42999999999995</v>
      </c>
      <c r="I41" t="s">
        <v>271</v>
      </c>
      <c r="J41">
        <v>9.59</v>
      </c>
      <c r="K41">
        <v>1</v>
      </c>
      <c r="L41" t="s">
        <v>272</v>
      </c>
      <c r="M41">
        <v>55615</v>
      </c>
      <c r="N41">
        <v>490.88</v>
      </c>
      <c r="O41">
        <v>1</v>
      </c>
      <c r="P41" t="s">
        <v>272</v>
      </c>
      <c r="Q41">
        <v>7.13</v>
      </c>
      <c r="R41">
        <v>1</v>
      </c>
      <c r="S41">
        <v>454.71</v>
      </c>
      <c r="T41">
        <v>33</v>
      </c>
      <c r="U41">
        <v>6.61</v>
      </c>
      <c r="V41" s="15">
        <v>533.00666669999998</v>
      </c>
      <c r="W41">
        <v>7.78</v>
      </c>
      <c r="X41">
        <v>7.78</v>
      </c>
    </row>
    <row r="42" spans="1:24" x14ac:dyDescent="0.2">
      <c r="A42">
        <v>43</v>
      </c>
      <c r="B42">
        <v>43</v>
      </c>
      <c r="C42" s="15" t="s">
        <v>156</v>
      </c>
      <c r="D42" s="15" t="s">
        <v>97</v>
      </c>
      <c r="E42" t="s">
        <v>273</v>
      </c>
      <c r="F42" s="15">
        <v>10</v>
      </c>
      <c r="G42" t="s">
        <v>274</v>
      </c>
      <c r="H42">
        <v>447.34</v>
      </c>
      <c r="I42" t="s">
        <v>274</v>
      </c>
      <c r="J42">
        <v>9.0500000000000007</v>
      </c>
      <c r="K42">
        <v>1</v>
      </c>
      <c r="L42" t="s">
        <v>275</v>
      </c>
      <c r="M42">
        <v>45534</v>
      </c>
      <c r="N42">
        <v>336.55700000000002</v>
      </c>
      <c r="O42">
        <v>1</v>
      </c>
      <c r="P42" t="s">
        <v>275</v>
      </c>
      <c r="Q42">
        <v>6.68</v>
      </c>
      <c r="R42">
        <v>1</v>
      </c>
      <c r="S42">
        <v>365</v>
      </c>
      <c r="T42">
        <v>44</v>
      </c>
      <c r="U42">
        <v>7.22</v>
      </c>
      <c r="V42" s="15">
        <v>382.96566669999999</v>
      </c>
      <c r="W42">
        <v>7.65</v>
      </c>
      <c r="X42">
        <v>7.65</v>
      </c>
    </row>
    <row r="43" spans="1:24" x14ac:dyDescent="0.2">
      <c r="A43">
        <v>44</v>
      </c>
      <c r="B43">
        <v>44</v>
      </c>
      <c r="C43" s="15" t="s">
        <v>153</v>
      </c>
      <c r="D43" s="15" t="s">
        <v>26</v>
      </c>
      <c r="E43" t="s">
        <v>276</v>
      </c>
      <c r="F43" s="15">
        <v>10</v>
      </c>
      <c r="G43" t="s">
        <v>277</v>
      </c>
      <c r="H43">
        <v>311.77999999999997</v>
      </c>
      <c r="I43" t="s">
        <v>277</v>
      </c>
      <c r="J43">
        <v>0.31</v>
      </c>
      <c r="K43">
        <v>1</v>
      </c>
      <c r="L43" t="s">
        <v>278</v>
      </c>
      <c r="M43">
        <v>2127</v>
      </c>
      <c r="N43">
        <v>275.76799999999997</v>
      </c>
      <c r="O43">
        <v>1</v>
      </c>
      <c r="P43" t="s">
        <v>278</v>
      </c>
      <c r="Q43">
        <v>0.26</v>
      </c>
      <c r="R43">
        <v>1</v>
      </c>
      <c r="S43">
        <v>281.08</v>
      </c>
      <c r="T43">
        <v>36</v>
      </c>
      <c r="U43">
        <v>0.25</v>
      </c>
      <c r="V43" s="15">
        <v>289.54266669999998</v>
      </c>
      <c r="W43">
        <v>0.27</v>
      </c>
      <c r="X43">
        <v>0.27</v>
      </c>
    </row>
    <row r="44" spans="1:24" x14ac:dyDescent="0.2">
      <c r="A44">
        <v>45</v>
      </c>
      <c r="B44">
        <v>45</v>
      </c>
      <c r="C44" s="15" t="s">
        <v>153</v>
      </c>
      <c r="D44" s="15" t="s">
        <v>44</v>
      </c>
      <c r="E44" t="s">
        <v>279</v>
      </c>
      <c r="F44" s="15">
        <v>10</v>
      </c>
      <c r="G44" t="s">
        <v>280</v>
      </c>
      <c r="H44">
        <v>538.16999999999996</v>
      </c>
      <c r="I44" t="s">
        <v>280</v>
      </c>
      <c r="J44">
        <v>9.74</v>
      </c>
      <c r="K44">
        <v>1</v>
      </c>
      <c r="L44" t="s">
        <v>281</v>
      </c>
      <c r="M44">
        <v>57335</v>
      </c>
      <c r="N44">
        <v>423.04599999999999</v>
      </c>
      <c r="O44">
        <v>1</v>
      </c>
      <c r="P44" t="s">
        <v>281</v>
      </c>
      <c r="Q44">
        <v>7.37</v>
      </c>
      <c r="R44">
        <v>1</v>
      </c>
      <c r="S44">
        <v>501.59</v>
      </c>
      <c r="T44">
        <v>67</v>
      </c>
      <c r="U44">
        <v>8.98</v>
      </c>
      <c r="V44" s="15">
        <v>487.60199999999998</v>
      </c>
      <c r="W44">
        <v>8.6999999999999993</v>
      </c>
      <c r="X44">
        <v>8.6999999999999993</v>
      </c>
    </row>
    <row r="45" spans="1:24" x14ac:dyDescent="0.2">
      <c r="A45">
        <v>46</v>
      </c>
      <c r="B45">
        <v>46</v>
      </c>
      <c r="C45" s="15" t="s">
        <v>156</v>
      </c>
      <c r="D45" s="15" t="s">
        <v>97</v>
      </c>
      <c r="E45" t="s">
        <v>282</v>
      </c>
      <c r="F45" s="15">
        <v>10</v>
      </c>
      <c r="G45" t="s">
        <v>283</v>
      </c>
      <c r="H45">
        <v>20.64</v>
      </c>
      <c r="I45" t="s">
        <v>283</v>
      </c>
      <c r="J45" s="1" t="s">
        <v>284</v>
      </c>
      <c r="K45">
        <v>1</v>
      </c>
      <c r="L45" t="s">
        <v>285</v>
      </c>
      <c r="M45">
        <v>0</v>
      </c>
      <c r="N45">
        <v>17.122</v>
      </c>
      <c r="O45">
        <v>1</v>
      </c>
      <c r="P45" t="s">
        <v>285</v>
      </c>
      <c r="Q45">
        <v>0</v>
      </c>
      <c r="R45">
        <v>0</v>
      </c>
      <c r="S45">
        <v>17.309999999999999</v>
      </c>
      <c r="T45">
        <v>7</v>
      </c>
      <c r="U45">
        <v>0</v>
      </c>
      <c r="V45" s="15">
        <v>18.357333329999999</v>
      </c>
      <c r="W45">
        <v>0</v>
      </c>
      <c r="X45">
        <v>0</v>
      </c>
    </row>
    <row r="46" spans="1:24" x14ac:dyDescent="0.2">
      <c r="A46">
        <v>47</v>
      </c>
      <c r="B46">
        <v>47</v>
      </c>
      <c r="C46" s="15" t="s">
        <v>156</v>
      </c>
      <c r="D46" s="15" t="s">
        <v>115</v>
      </c>
      <c r="E46" t="s">
        <v>286</v>
      </c>
      <c r="F46" s="15">
        <v>10</v>
      </c>
      <c r="G46" t="s">
        <v>287</v>
      </c>
      <c r="H46">
        <v>1503.11</v>
      </c>
      <c r="I46" t="s">
        <v>287</v>
      </c>
      <c r="J46">
        <v>18.559999999999999</v>
      </c>
      <c r="K46">
        <v>1</v>
      </c>
      <c r="L46" t="s">
        <v>288</v>
      </c>
      <c r="M46">
        <v>126061</v>
      </c>
      <c r="N46">
        <v>1285.758</v>
      </c>
      <c r="O46">
        <v>1</v>
      </c>
      <c r="P46" t="s">
        <v>288</v>
      </c>
      <c r="Q46">
        <v>15.78</v>
      </c>
      <c r="R46">
        <v>1</v>
      </c>
      <c r="S46">
        <v>1375.71</v>
      </c>
      <c r="T46">
        <v>272</v>
      </c>
      <c r="U46">
        <v>17.260000000000002</v>
      </c>
      <c r="V46" s="15">
        <v>1388.192667</v>
      </c>
      <c r="W46">
        <v>17.2</v>
      </c>
      <c r="X46">
        <v>17.2</v>
      </c>
    </row>
    <row r="47" spans="1:24" x14ac:dyDescent="0.2">
      <c r="A47">
        <v>48</v>
      </c>
      <c r="B47">
        <v>48</v>
      </c>
      <c r="C47" s="15" t="s">
        <v>153</v>
      </c>
      <c r="D47" s="15" t="s">
        <v>26</v>
      </c>
      <c r="E47" t="s">
        <v>289</v>
      </c>
      <c r="F47" s="15">
        <v>10</v>
      </c>
      <c r="G47" t="s">
        <v>290</v>
      </c>
      <c r="H47">
        <v>100.53</v>
      </c>
      <c r="I47" t="s">
        <v>290</v>
      </c>
      <c r="J47">
        <v>0.09</v>
      </c>
      <c r="K47">
        <v>1</v>
      </c>
      <c r="L47" t="s">
        <v>291</v>
      </c>
      <c r="M47">
        <v>376</v>
      </c>
      <c r="N47">
        <v>80.686000000000007</v>
      </c>
      <c r="O47">
        <v>1</v>
      </c>
      <c r="P47" t="s">
        <v>291</v>
      </c>
      <c r="Q47">
        <v>0.06</v>
      </c>
      <c r="R47">
        <v>1</v>
      </c>
      <c r="S47">
        <v>80.290000000000006</v>
      </c>
      <c r="T47">
        <v>39</v>
      </c>
      <c r="U47">
        <v>0.1</v>
      </c>
      <c r="V47" s="15">
        <v>87.168666669999993</v>
      </c>
      <c r="W47">
        <v>0.08</v>
      </c>
      <c r="X47">
        <v>0.08</v>
      </c>
    </row>
    <row r="48" spans="1:24" x14ac:dyDescent="0.2">
      <c r="A48">
        <v>49</v>
      </c>
      <c r="B48">
        <v>49</v>
      </c>
      <c r="C48" s="15" t="s">
        <v>153</v>
      </c>
      <c r="D48" s="15" t="s">
        <v>26</v>
      </c>
      <c r="E48" t="s">
        <v>292</v>
      </c>
      <c r="F48" s="15">
        <v>10</v>
      </c>
      <c r="G48" t="s">
        <v>293</v>
      </c>
      <c r="H48">
        <v>398.67</v>
      </c>
      <c r="I48" t="s">
        <v>293</v>
      </c>
      <c r="J48">
        <v>9.61</v>
      </c>
      <c r="K48">
        <v>1</v>
      </c>
      <c r="L48" t="s">
        <v>294</v>
      </c>
      <c r="M48">
        <v>52219</v>
      </c>
      <c r="N48">
        <v>301.41199999999998</v>
      </c>
      <c r="O48">
        <v>1</v>
      </c>
      <c r="P48" t="s">
        <v>294</v>
      </c>
      <c r="Q48">
        <v>7.13</v>
      </c>
      <c r="R48">
        <v>1</v>
      </c>
      <c r="S48">
        <v>345.98</v>
      </c>
      <c r="T48">
        <v>34</v>
      </c>
      <c r="U48">
        <v>8.31</v>
      </c>
      <c r="V48" s="15">
        <v>348.68733329999998</v>
      </c>
      <c r="W48">
        <v>8.35</v>
      </c>
      <c r="X48">
        <v>8.35</v>
      </c>
    </row>
    <row r="49" spans="1:24" x14ac:dyDescent="0.2">
      <c r="A49">
        <v>50</v>
      </c>
      <c r="B49">
        <v>50</v>
      </c>
      <c r="C49" s="15" t="s">
        <v>153</v>
      </c>
      <c r="D49" s="15" t="s">
        <v>44</v>
      </c>
      <c r="E49" t="s">
        <v>295</v>
      </c>
      <c r="F49" s="15">
        <v>10</v>
      </c>
      <c r="G49" t="s">
        <v>296</v>
      </c>
      <c r="H49">
        <v>1645.13</v>
      </c>
      <c r="I49" t="s">
        <v>296</v>
      </c>
      <c r="J49">
        <v>18.809999999999999</v>
      </c>
      <c r="K49">
        <v>1</v>
      </c>
      <c r="L49" t="s">
        <v>297</v>
      </c>
      <c r="M49">
        <v>96610</v>
      </c>
      <c r="N49">
        <v>1451.6969999999999</v>
      </c>
      <c r="O49">
        <v>1</v>
      </c>
      <c r="P49" t="s">
        <v>297</v>
      </c>
      <c r="Q49">
        <v>16.559999999999999</v>
      </c>
      <c r="R49">
        <v>1</v>
      </c>
      <c r="S49">
        <v>1541.54</v>
      </c>
      <c r="T49">
        <v>171</v>
      </c>
      <c r="U49">
        <v>17.57</v>
      </c>
      <c r="V49" s="15">
        <v>1546.122333</v>
      </c>
      <c r="W49">
        <v>17.649999999999999</v>
      </c>
      <c r="X49">
        <v>17.649999999999999</v>
      </c>
    </row>
    <row r="50" spans="1:24" x14ac:dyDescent="0.2">
      <c r="A50">
        <v>51</v>
      </c>
      <c r="B50">
        <v>51</v>
      </c>
      <c r="C50" s="15" t="s">
        <v>156</v>
      </c>
      <c r="D50" s="15" t="s">
        <v>115</v>
      </c>
      <c r="E50" t="s">
        <v>298</v>
      </c>
      <c r="F50" s="15">
        <v>10</v>
      </c>
      <c r="G50" t="s">
        <v>299</v>
      </c>
      <c r="H50">
        <v>2017.01</v>
      </c>
      <c r="I50" t="s">
        <v>299</v>
      </c>
      <c r="J50">
        <v>19.13</v>
      </c>
      <c r="K50">
        <v>1</v>
      </c>
      <c r="L50" t="s">
        <v>300</v>
      </c>
      <c r="M50">
        <v>87086</v>
      </c>
      <c r="N50">
        <v>1195.558</v>
      </c>
      <c r="O50">
        <v>1</v>
      </c>
      <c r="P50" t="s">
        <v>300</v>
      </c>
      <c r="Q50">
        <v>11.18</v>
      </c>
      <c r="R50">
        <v>1</v>
      </c>
      <c r="S50">
        <v>1371.27</v>
      </c>
      <c r="T50">
        <v>104</v>
      </c>
      <c r="U50">
        <v>12.92</v>
      </c>
      <c r="V50" s="15">
        <v>1527.9459999999999</v>
      </c>
      <c r="W50">
        <v>14.41</v>
      </c>
      <c r="X50">
        <v>14.41</v>
      </c>
    </row>
    <row r="51" spans="1:24" x14ac:dyDescent="0.2">
      <c r="A51">
        <v>52</v>
      </c>
      <c r="B51">
        <v>52</v>
      </c>
      <c r="C51" s="15" t="s">
        <v>153</v>
      </c>
      <c r="D51" s="15" t="s">
        <v>44</v>
      </c>
      <c r="E51" t="s">
        <v>301</v>
      </c>
      <c r="F51" s="15">
        <v>10</v>
      </c>
      <c r="G51" t="s">
        <v>302</v>
      </c>
      <c r="H51">
        <v>808.26</v>
      </c>
      <c r="I51" t="s">
        <v>302</v>
      </c>
      <c r="J51">
        <v>0.71</v>
      </c>
      <c r="K51">
        <v>1</v>
      </c>
      <c r="L51" t="s">
        <v>303</v>
      </c>
      <c r="M51">
        <v>3941</v>
      </c>
      <c r="N51">
        <v>660.13499999999999</v>
      </c>
      <c r="O51">
        <v>1</v>
      </c>
      <c r="P51" t="s">
        <v>303</v>
      </c>
      <c r="Q51">
        <v>0.56000000000000005</v>
      </c>
      <c r="R51">
        <v>1</v>
      </c>
      <c r="S51">
        <v>742.19</v>
      </c>
      <c r="T51">
        <v>66</v>
      </c>
      <c r="U51">
        <v>0.65</v>
      </c>
      <c r="V51" s="15">
        <v>736.8616667</v>
      </c>
      <c r="W51">
        <v>0.64</v>
      </c>
      <c r="X51">
        <v>0.64</v>
      </c>
    </row>
    <row r="52" spans="1:24" x14ac:dyDescent="0.2">
      <c r="A52">
        <v>53</v>
      </c>
      <c r="B52">
        <v>53</v>
      </c>
      <c r="C52" s="15" t="s">
        <v>153</v>
      </c>
      <c r="D52" s="15" t="s">
        <v>26</v>
      </c>
      <c r="E52" t="s">
        <v>304</v>
      </c>
      <c r="F52" s="15">
        <v>10</v>
      </c>
      <c r="G52" t="s">
        <v>305</v>
      </c>
      <c r="H52">
        <v>462.85</v>
      </c>
      <c r="I52" t="s">
        <v>305</v>
      </c>
      <c r="J52">
        <v>12.97</v>
      </c>
      <c r="K52">
        <v>1</v>
      </c>
      <c r="L52" t="s">
        <v>306</v>
      </c>
      <c r="M52">
        <v>68251</v>
      </c>
      <c r="N52">
        <v>309.89800000000002</v>
      </c>
      <c r="O52">
        <v>1</v>
      </c>
      <c r="P52" t="s">
        <v>306</v>
      </c>
      <c r="Q52">
        <v>8.18</v>
      </c>
      <c r="R52">
        <v>1</v>
      </c>
      <c r="S52">
        <v>342.71</v>
      </c>
      <c r="T52">
        <v>57</v>
      </c>
      <c r="U52">
        <v>9.4700000000000006</v>
      </c>
      <c r="V52" s="15">
        <v>371.81933329999998</v>
      </c>
      <c r="W52">
        <v>10.210000000000001</v>
      </c>
      <c r="X52">
        <v>10.210000000000001</v>
      </c>
    </row>
    <row r="53" spans="1:24" x14ac:dyDescent="0.2">
      <c r="A53">
        <v>54</v>
      </c>
      <c r="B53">
        <v>54</v>
      </c>
      <c r="C53" s="15" t="s">
        <v>156</v>
      </c>
      <c r="D53" s="15" t="s">
        <v>79</v>
      </c>
      <c r="E53" t="s">
        <v>307</v>
      </c>
      <c r="F53" s="15">
        <v>10</v>
      </c>
      <c r="G53" t="s">
        <v>308</v>
      </c>
      <c r="H53">
        <v>73.41</v>
      </c>
      <c r="I53" t="s">
        <v>308</v>
      </c>
      <c r="J53">
        <v>2.19</v>
      </c>
      <c r="K53">
        <v>1</v>
      </c>
      <c r="L53" t="s">
        <v>309</v>
      </c>
      <c r="M53">
        <v>0</v>
      </c>
      <c r="N53">
        <v>53.308</v>
      </c>
      <c r="O53">
        <v>1</v>
      </c>
      <c r="P53" t="s">
        <v>309</v>
      </c>
      <c r="Q53">
        <v>1.36</v>
      </c>
      <c r="R53">
        <v>0</v>
      </c>
      <c r="S53">
        <v>56.72</v>
      </c>
      <c r="T53">
        <v>19</v>
      </c>
      <c r="U53">
        <v>1.52</v>
      </c>
      <c r="V53" s="15">
        <v>61.146000000000001</v>
      </c>
      <c r="W53">
        <v>1.69</v>
      </c>
      <c r="X53">
        <v>0</v>
      </c>
    </row>
    <row r="54" spans="1:24" x14ac:dyDescent="0.2">
      <c r="A54">
        <v>55</v>
      </c>
      <c r="B54">
        <v>55</v>
      </c>
      <c r="C54" s="15" t="s">
        <v>156</v>
      </c>
      <c r="D54" s="15" t="s">
        <v>79</v>
      </c>
      <c r="E54" t="s">
        <v>310</v>
      </c>
      <c r="F54" s="15">
        <v>10</v>
      </c>
      <c r="G54" t="s">
        <v>311</v>
      </c>
      <c r="H54">
        <v>86.17</v>
      </c>
      <c r="I54" t="s">
        <v>311</v>
      </c>
      <c r="J54">
        <v>0.05</v>
      </c>
      <c r="K54">
        <v>1</v>
      </c>
      <c r="L54" t="s">
        <v>312</v>
      </c>
      <c r="M54">
        <v>248</v>
      </c>
      <c r="N54">
        <v>68.769000000000005</v>
      </c>
      <c r="O54">
        <v>1</v>
      </c>
      <c r="P54" t="s">
        <v>312</v>
      </c>
      <c r="Q54">
        <v>0.04</v>
      </c>
      <c r="R54">
        <v>1</v>
      </c>
      <c r="S54">
        <v>62.93</v>
      </c>
      <c r="T54">
        <v>35</v>
      </c>
      <c r="U54">
        <v>0.03</v>
      </c>
      <c r="V54" s="15">
        <v>72.623000000000005</v>
      </c>
      <c r="W54">
        <v>0.04</v>
      </c>
      <c r="X54">
        <v>0.04</v>
      </c>
    </row>
    <row r="55" spans="1:24" x14ac:dyDescent="0.2">
      <c r="A55">
        <v>56</v>
      </c>
      <c r="B55">
        <v>56</v>
      </c>
      <c r="C55" s="15" t="s">
        <v>153</v>
      </c>
      <c r="D55" s="15" t="s">
        <v>44</v>
      </c>
      <c r="E55" t="s">
        <v>313</v>
      </c>
      <c r="F55" s="15">
        <v>10</v>
      </c>
      <c r="G55" t="s">
        <v>314</v>
      </c>
      <c r="H55">
        <v>724.59</v>
      </c>
      <c r="I55" t="s">
        <v>314</v>
      </c>
      <c r="J55">
        <v>15.27</v>
      </c>
      <c r="K55">
        <v>1</v>
      </c>
      <c r="L55" t="s">
        <v>315</v>
      </c>
      <c r="M55">
        <v>67129</v>
      </c>
      <c r="N55">
        <v>462.65199999999999</v>
      </c>
      <c r="O55">
        <v>1</v>
      </c>
      <c r="P55" t="s">
        <v>315</v>
      </c>
      <c r="Q55">
        <v>9.27</v>
      </c>
      <c r="R55">
        <v>1</v>
      </c>
      <c r="S55">
        <v>524.36</v>
      </c>
      <c r="T55">
        <v>51</v>
      </c>
      <c r="U55">
        <v>10.82</v>
      </c>
      <c r="V55" s="15">
        <v>570.53399999999999</v>
      </c>
      <c r="W55">
        <v>11.79</v>
      </c>
      <c r="X55">
        <v>11.79</v>
      </c>
    </row>
    <row r="56" spans="1:24" x14ac:dyDescent="0.2">
      <c r="A56">
        <v>57</v>
      </c>
      <c r="B56">
        <v>57</v>
      </c>
      <c r="C56" s="15" t="s">
        <v>156</v>
      </c>
      <c r="D56" s="15" t="s">
        <v>79</v>
      </c>
      <c r="E56" t="s">
        <v>316</v>
      </c>
      <c r="F56" s="15">
        <v>10</v>
      </c>
      <c r="G56" t="s">
        <v>317</v>
      </c>
      <c r="H56">
        <v>497.97</v>
      </c>
      <c r="I56" t="s">
        <v>317</v>
      </c>
      <c r="J56">
        <v>10.09</v>
      </c>
      <c r="K56">
        <v>1</v>
      </c>
      <c r="L56" t="s">
        <v>318</v>
      </c>
      <c r="M56">
        <v>55639</v>
      </c>
      <c r="N56">
        <v>442.99900000000002</v>
      </c>
      <c r="O56">
        <v>1</v>
      </c>
      <c r="P56" t="s">
        <v>318</v>
      </c>
      <c r="Q56">
        <v>9.0299999999999994</v>
      </c>
      <c r="R56">
        <v>1</v>
      </c>
      <c r="S56">
        <v>457.81</v>
      </c>
      <c r="T56">
        <v>59</v>
      </c>
      <c r="U56">
        <v>9.48</v>
      </c>
      <c r="V56" s="15">
        <v>466.25966670000003</v>
      </c>
      <c r="W56">
        <v>9.5299999999999994</v>
      </c>
      <c r="X56">
        <v>9.5299999999999994</v>
      </c>
    </row>
    <row r="57" spans="1:24" x14ac:dyDescent="0.2">
      <c r="A57">
        <v>58</v>
      </c>
      <c r="B57">
        <v>58</v>
      </c>
      <c r="C57" s="15" t="s">
        <v>153</v>
      </c>
      <c r="D57" s="15" t="s">
        <v>60</v>
      </c>
      <c r="E57" t="s">
        <v>319</v>
      </c>
      <c r="F57" s="15">
        <v>10</v>
      </c>
      <c r="G57" t="s">
        <v>320</v>
      </c>
      <c r="H57">
        <v>1029.18</v>
      </c>
      <c r="I57" t="s">
        <v>320</v>
      </c>
      <c r="J57">
        <v>11.5</v>
      </c>
      <c r="K57">
        <v>1</v>
      </c>
      <c r="L57" t="s">
        <v>321</v>
      </c>
      <c r="M57">
        <v>78302</v>
      </c>
      <c r="N57">
        <v>885.13699999999994</v>
      </c>
      <c r="O57">
        <v>1</v>
      </c>
      <c r="P57" t="s">
        <v>321</v>
      </c>
      <c r="Q57">
        <v>9.86</v>
      </c>
      <c r="R57">
        <v>1</v>
      </c>
      <c r="S57">
        <v>931.02</v>
      </c>
      <c r="T57">
        <v>118</v>
      </c>
      <c r="U57">
        <v>10.29</v>
      </c>
      <c r="V57" s="15">
        <v>948.44566669999995</v>
      </c>
      <c r="W57">
        <v>10.55</v>
      </c>
      <c r="X57">
        <v>10.55</v>
      </c>
    </row>
    <row r="58" spans="1:24" x14ac:dyDescent="0.2">
      <c r="A58">
        <v>59</v>
      </c>
      <c r="B58">
        <v>59</v>
      </c>
      <c r="C58" s="15" t="s">
        <v>156</v>
      </c>
      <c r="D58" s="15" t="s">
        <v>97</v>
      </c>
      <c r="E58" t="s">
        <v>322</v>
      </c>
      <c r="F58" s="15">
        <v>10</v>
      </c>
      <c r="G58" t="s">
        <v>323</v>
      </c>
      <c r="H58">
        <v>43.09</v>
      </c>
      <c r="I58" t="s">
        <v>323</v>
      </c>
      <c r="J58" s="1" t="s">
        <v>324</v>
      </c>
      <c r="K58">
        <v>1</v>
      </c>
      <c r="L58" t="s">
        <v>325</v>
      </c>
      <c r="M58">
        <v>1</v>
      </c>
      <c r="N58">
        <v>40.683</v>
      </c>
      <c r="O58">
        <v>1</v>
      </c>
      <c r="P58" t="s">
        <v>325</v>
      </c>
      <c r="Q58">
        <v>0</v>
      </c>
      <c r="R58">
        <v>1</v>
      </c>
      <c r="S58">
        <v>38.78</v>
      </c>
      <c r="T58">
        <v>22</v>
      </c>
      <c r="U58">
        <v>0</v>
      </c>
      <c r="V58" s="15">
        <v>40.850999999999999</v>
      </c>
      <c r="W58">
        <v>0</v>
      </c>
      <c r="X58">
        <v>0</v>
      </c>
    </row>
    <row r="59" spans="1:24" x14ac:dyDescent="0.2">
      <c r="A59">
        <v>60</v>
      </c>
      <c r="B59">
        <v>60</v>
      </c>
      <c r="C59" s="15" t="s">
        <v>153</v>
      </c>
      <c r="D59" s="15" t="s">
        <v>44</v>
      </c>
      <c r="E59" t="s">
        <v>326</v>
      </c>
      <c r="F59" s="15">
        <v>10</v>
      </c>
      <c r="G59" t="s">
        <v>327</v>
      </c>
      <c r="H59">
        <v>894.12</v>
      </c>
      <c r="I59" t="s">
        <v>327</v>
      </c>
      <c r="J59">
        <v>12.25</v>
      </c>
      <c r="K59">
        <v>1</v>
      </c>
      <c r="L59" t="s">
        <v>328</v>
      </c>
      <c r="M59">
        <v>62818</v>
      </c>
      <c r="N59">
        <v>555.59400000000005</v>
      </c>
      <c r="O59">
        <v>1</v>
      </c>
      <c r="P59" t="s">
        <v>328</v>
      </c>
      <c r="Q59">
        <v>7.31</v>
      </c>
      <c r="R59">
        <v>1</v>
      </c>
      <c r="S59">
        <v>636.67999999999995</v>
      </c>
      <c r="T59">
        <v>78</v>
      </c>
      <c r="U59">
        <v>8.64</v>
      </c>
      <c r="V59" s="15">
        <v>695.46466669999995</v>
      </c>
      <c r="W59">
        <v>9.4</v>
      </c>
      <c r="X59">
        <v>9.4</v>
      </c>
    </row>
    <row r="60" spans="1:24" x14ac:dyDescent="0.2">
      <c r="A60">
        <v>61</v>
      </c>
      <c r="B60">
        <v>61</v>
      </c>
      <c r="C60" s="15" t="s">
        <v>156</v>
      </c>
      <c r="D60" s="15" t="s">
        <v>115</v>
      </c>
      <c r="E60" t="s">
        <v>329</v>
      </c>
      <c r="F60" s="15">
        <v>10</v>
      </c>
      <c r="G60" t="s">
        <v>330</v>
      </c>
      <c r="H60">
        <v>68.650000000000006</v>
      </c>
      <c r="I60" t="s">
        <v>330</v>
      </c>
      <c r="J60" s="1" t="s">
        <v>331</v>
      </c>
      <c r="K60">
        <v>1</v>
      </c>
      <c r="L60" t="s">
        <v>332</v>
      </c>
      <c r="M60">
        <v>0</v>
      </c>
      <c r="N60">
        <v>60.273000000000003</v>
      </c>
      <c r="O60">
        <v>1</v>
      </c>
      <c r="P60" t="s">
        <v>332</v>
      </c>
      <c r="Q60">
        <v>0</v>
      </c>
      <c r="R60">
        <v>0</v>
      </c>
      <c r="S60">
        <v>62.36</v>
      </c>
      <c r="T60">
        <v>29</v>
      </c>
      <c r="U60">
        <v>0.41</v>
      </c>
      <c r="V60" s="15">
        <v>63.761000000000003</v>
      </c>
      <c r="W60">
        <v>0.14000000000000001</v>
      </c>
      <c r="X60">
        <v>0</v>
      </c>
    </row>
    <row r="61" spans="1:24" x14ac:dyDescent="0.2">
      <c r="A61">
        <v>138</v>
      </c>
      <c r="B61">
        <v>138</v>
      </c>
      <c r="C61" s="15" t="s">
        <v>153</v>
      </c>
      <c r="D61" s="15" t="s">
        <v>26</v>
      </c>
      <c r="E61" t="s">
        <v>333</v>
      </c>
      <c r="F61" s="15">
        <v>10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>
        <v>3153</v>
      </c>
      <c r="N61">
        <v>6284.66</v>
      </c>
      <c r="O61" t="s">
        <v>21</v>
      </c>
      <c r="P61">
        <v>2</v>
      </c>
      <c r="Q61">
        <v>0.4</v>
      </c>
      <c r="R61">
        <v>1</v>
      </c>
      <c r="S61">
        <v>572.45000000000005</v>
      </c>
      <c r="T61">
        <v>136</v>
      </c>
      <c r="U61">
        <v>0.56000000000000005</v>
      </c>
      <c r="V61" s="15">
        <v>3428.5549999999998</v>
      </c>
      <c r="W61">
        <v>0.48</v>
      </c>
      <c r="X61">
        <v>0.48</v>
      </c>
    </row>
    <row r="62" spans="1:24" x14ac:dyDescent="0.2">
      <c r="A62">
        <v>140</v>
      </c>
      <c r="B62">
        <v>140</v>
      </c>
      <c r="C62" s="15" t="s">
        <v>153</v>
      </c>
      <c r="D62" s="15" t="s">
        <v>44</v>
      </c>
      <c r="E62" t="s">
        <v>334</v>
      </c>
      <c r="F62" s="15">
        <v>10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>
        <v>15909</v>
      </c>
      <c r="N62">
        <v>10281.280000000001</v>
      </c>
      <c r="O62" t="s">
        <v>21</v>
      </c>
      <c r="P62">
        <v>4</v>
      </c>
      <c r="Q62">
        <v>1.25</v>
      </c>
      <c r="R62">
        <v>1</v>
      </c>
      <c r="S62">
        <v>958.69</v>
      </c>
      <c r="T62">
        <v>161</v>
      </c>
      <c r="U62">
        <v>1.88</v>
      </c>
      <c r="V62" s="15">
        <v>5619.9849999999997</v>
      </c>
      <c r="W62">
        <v>1.5649999999999999</v>
      </c>
      <c r="X62">
        <v>1.5649999999999999</v>
      </c>
    </row>
    <row r="63" spans="1:24" x14ac:dyDescent="0.2">
      <c r="A63">
        <v>143</v>
      </c>
      <c r="B63">
        <v>143</v>
      </c>
      <c r="C63" s="15" t="s">
        <v>153</v>
      </c>
      <c r="D63" s="15" t="s">
        <v>60</v>
      </c>
      <c r="E63" t="s">
        <v>335</v>
      </c>
      <c r="F63" s="15">
        <v>10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>
        <v>67535</v>
      </c>
      <c r="N63">
        <v>707.7</v>
      </c>
      <c r="O63" t="s">
        <v>21</v>
      </c>
      <c r="P63">
        <v>7</v>
      </c>
      <c r="Q63">
        <v>5.74</v>
      </c>
      <c r="R63">
        <v>0</v>
      </c>
      <c r="S63">
        <v>20.86</v>
      </c>
      <c r="T63">
        <v>0</v>
      </c>
      <c r="U63">
        <v>0.06</v>
      </c>
      <c r="V63" s="15">
        <v>364.28</v>
      </c>
      <c r="W63">
        <v>2.9</v>
      </c>
      <c r="X63">
        <v>0</v>
      </c>
    </row>
    <row r="64" spans="1:24" x14ac:dyDescent="0.2">
      <c r="A64">
        <v>147</v>
      </c>
      <c r="B64">
        <v>147</v>
      </c>
      <c r="C64" s="15" t="s">
        <v>153</v>
      </c>
      <c r="D64" s="15" t="s">
        <v>26</v>
      </c>
      <c r="E64" t="s">
        <v>336</v>
      </c>
      <c r="F64" s="15">
        <v>10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>
        <v>76</v>
      </c>
      <c r="N64">
        <v>1269.78</v>
      </c>
      <c r="O64" t="s">
        <v>21</v>
      </c>
      <c r="P64">
        <v>11</v>
      </c>
      <c r="Q64">
        <v>0.01</v>
      </c>
      <c r="R64">
        <v>0</v>
      </c>
      <c r="S64">
        <v>62.11</v>
      </c>
      <c r="T64">
        <v>28</v>
      </c>
      <c r="U64">
        <v>0.01</v>
      </c>
      <c r="V64" s="15">
        <v>665.94500000000005</v>
      </c>
      <c r="W64">
        <v>0.01</v>
      </c>
      <c r="X64">
        <v>0</v>
      </c>
    </row>
    <row r="65" spans="1:24" x14ac:dyDescent="0.2">
      <c r="A65">
        <v>148</v>
      </c>
      <c r="B65">
        <v>148</v>
      </c>
      <c r="C65" s="15" t="s">
        <v>153</v>
      </c>
      <c r="D65" s="15" t="s">
        <v>26</v>
      </c>
      <c r="E65" t="s">
        <v>337</v>
      </c>
      <c r="F65" s="15">
        <v>10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>
        <v>3775</v>
      </c>
      <c r="N65">
        <v>6129.36</v>
      </c>
      <c r="O65" t="s">
        <v>21</v>
      </c>
      <c r="P65">
        <v>12</v>
      </c>
      <c r="Q65">
        <v>0.51</v>
      </c>
      <c r="R65">
        <v>1</v>
      </c>
      <c r="S65">
        <v>754.96</v>
      </c>
      <c r="T65">
        <v>199</v>
      </c>
      <c r="U65">
        <v>0.69</v>
      </c>
      <c r="V65" s="15">
        <v>3442.16</v>
      </c>
      <c r="W65">
        <v>0.6</v>
      </c>
      <c r="X65">
        <v>0.6</v>
      </c>
    </row>
    <row r="66" spans="1:24" x14ac:dyDescent="0.2">
      <c r="A66">
        <v>149</v>
      </c>
      <c r="B66">
        <v>149</v>
      </c>
      <c r="C66" s="15" t="s">
        <v>153</v>
      </c>
      <c r="D66" s="15" t="s">
        <v>44</v>
      </c>
      <c r="E66" t="s">
        <v>338</v>
      </c>
      <c r="F66" s="15">
        <v>10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>
        <v>5937</v>
      </c>
      <c r="N66">
        <v>10805.47</v>
      </c>
      <c r="O66" t="s">
        <v>21</v>
      </c>
      <c r="P66">
        <v>13</v>
      </c>
      <c r="Q66">
        <v>0.62</v>
      </c>
      <c r="R66">
        <v>1</v>
      </c>
      <c r="S66">
        <v>962.59</v>
      </c>
      <c r="T66">
        <v>108</v>
      </c>
      <c r="U66">
        <v>0.82</v>
      </c>
      <c r="V66" s="15">
        <v>5884.03</v>
      </c>
      <c r="W66">
        <v>0.72</v>
      </c>
      <c r="X66">
        <v>0.72</v>
      </c>
    </row>
    <row r="67" spans="1:24" x14ac:dyDescent="0.2">
      <c r="A67">
        <v>154</v>
      </c>
      <c r="B67">
        <v>154</v>
      </c>
      <c r="C67" s="15" t="s">
        <v>153</v>
      </c>
      <c r="D67" s="15" t="s">
        <v>26</v>
      </c>
      <c r="E67" t="s">
        <v>339</v>
      </c>
      <c r="F67" s="15">
        <v>10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>
        <v>16070</v>
      </c>
      <c r="N67">
        <v>9710.1200000000008</v>
      </c>
      <c r="O67" t="s">
        <v>21</v>
      </c>
      <c r="P67">
        <v>18</v>
      </c>
      <c r="Q67">
        <v>1.57</v>
      </c>
      <c r="R67">
        <v>1</v>
      </c>
      <c r="S67">
        <v>1992.45</v>
      </c>
      <c r="T67">
        <v>1097</v>
      </c>
      <c r="U67">
        <v>2.58</v>
      </c>
      <c r="V67" s="15">
        <v>5851.2849999999999</v>
      </c>
      <c r="W67">
        <v>2.0750000000000002</v>
      </c>
      <c r="X67">
        <v>2.0750000000000002</v>
      </c>
    </row>
    <row r="68" spans="1:24" x14ac:dyDescent="0.2">
      <c r="A68">
        <v>156</v>
      </c>
      <c r="B68">
        <v>156</v>
      </c>
      <c r="C68" s="15" t="s">
        <v>153</v>
      </c>
      <c r="D68" s="15" t="s">
        <v>44</v>
      </c>
      <c r="E68" t="s">
        <v>340</v>
      </c>
      <c r="F68" s="15">
        <v>10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>
        <v>223771</v>
      </c>
      <c r="N68">
        <v>3288.54</v>
      </c>
      <c r="O68" t="s">
        <v>21</v>
      </c>
      <c r="P68">
        <v>20</v>
      </c>
      <c r="Q68">
        <v>29.53</v>
      </c>
      <c r="R68">
        <v>1</v>
      </c>
      <c r="S68">
        <v>1500.41</v>
      </c>
      <c r="T68">
        <v>779</v>
      </c>
      <c r="U68">
        <v>38.950000000000003</v>
      </c>
      <c r="V68" s="15">
        <v>2394.4749999999999</v>
      </c>
      <c r="W68">
        <v>34.24</v>
      </c>
      <c r="X68">
        <v>34.24</v>
      </c>
    </row>
    <row r="69" spans="1:24" x14ac:dyDescent="0.2">
      <c r="A69">
        <v>158</v>
      </c>
      <c r="B69">
        <v>158</v>
      </c>
      <c r="C69" s="15" t="s">
        <v>153</v>
      </c>
      <c r="D69" s="15" t="s">
        <v>60</v>
      </c>
      <c r="E69" t="s">
        <v>341</v>
      </c>
      <c r="F69" s="15">
        <v>10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>
        <v>4579</v>
      </c>
      <c r="N69">
        <v>3377.52</v>
      </c>
      <c r="O69" t="s">
        <v>21</v>
      </c>
      <c r="P69">
        <v>22</v>
      </c>
      <c r="Q69">
        <v>0.48</v>
      </c>
      <c r="R69">
        <v>1</v>
      </c>
      <c r="S69">
        <v>435.89</v>
      </c>
      <c r="T69">
        <v>150</v>
      </c>
      <c r="U69">
        <v>0.67</v>
      </c>
      <c r="V69" s="15">
        <v>1906.7049999999999</v>
      </c>
      <c r="W69">
        <v>0.57499999999999996</v>
      </c>
      <c r="X69">
        <v>0.57499999999999996</v>
      </c>
    </row>
    <row r="70" spans="1:24" x14ac:dyDescent="0.2">
      <c r="A70">
        <v>159</v>
      </c>
      <c r="B70">
        <v>159</v>
      </c>
      <c r="C70" s="15" t="s">
        <v>153</v>
      </c>
      <c r="D70" s="15" t="s">
        <v>60</v>
      </c>
      <c r="E70" t="s">
        <v>342</v>
      </c>
      <c r="F70" s="15">
        <v>10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>
        <v>1813</v>
      </c>
      <c r="N70">
        <v>5173.66</v>
      </c>
      <c r="O70" t="s">
        <v>21</v>
      </c>
      <c r="P70">
        <v>23</v>
      </c>
      <c r="Q70">
        <v>0.14000000000000001</v>
      </c>
      <c r="R70">
        <v>1</v>
      </c>
      <c r="S70">
        <v>429.67</v>
      </c>
      <c r="T70">
        <v>146</v>
      </c>
      <c r="U70">
        <v>0.22</v>
      </c>
      <c r="V70" s="15">
        <v>2801.665</v>
      </c>
      <c r="W70">
        <v>0.18</v>
      </c>
      <c r="X70">
        <v>0.18</v>
      </c>
    </row>
    <row r="71" spans="1:24" x14ac:dyDescent="0.2">
      <c r="A71">
        <v>160</v>
      </c>
      <c r="B71">
        <v>160</v>
      </c>
      <c r="C71" s="15" t="s">
        <v>153</v>
      </c>
      <c r="D71" s="15" t="s">
        <v>26</v>
      </c>
      <c r="E71" t="s">
        <v>343</v>
      </c>
      <c r="F71" s="15">
        <v>10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>
        <v>6245</v>
      </c>
      <c r="N71">
        <v>5555.97</v>
      </c>
      <c r="O71" t="s">
        <v>21</v>
      </c>
      <c r="P71">
        <v>24</v>
      </c>
      <c r="Q71">
        <v>0.94</v>
      </c>
      <c r="R71">
        <v>1</v>
      </c>
      <c r="S71">
        <v>680.81</v>
      </c>
      <c r="T71">
        <v>182</v>
      </c>
      <c r="U71">
        <v>22.47</v>
      </c>
      <c r="V71" s="15">
        <v>3118.39</v>
      </c>
      <c r="W71">
        <v>11.705</v>
      </c>
      <c r="X71">
        <v>11.705</v>
      </c>
    </row>
    <row r="72" spans="1:24" x14ac:dyDescent="0.2">
      <c r="A72">
        <v>172</v>
      </c>
      <c r="B72">
        <v>172</v>
      </c>
      <c r="C72" s="15" t="s">
        <v>156</v>
      </c>
      <c r="D72" s="15" t="s">
        <v>97</v>
      </c>
      <c r="E72" t="s">
        <v>344</v>
      </c>
      <c r="F72" s="15">
        <v>10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>
        <v>2996</v>
      </c>
      <c r="N72">
        <v>10886</v>
      </c>
      <c r="O72" t="s">
        <v>21</v>
      </c>
      <c r="P72">
        <v>36</v>
      </c>
      <c r="Q72">
        <v>0.3</v>
      </c>
      <c r="R72">
        <v>1</v>
      </c>
      <c r="S72">
        <v>1064.7</v>
      </c>
      <c r="T72">
        <v>664</v>
      </c>
      <c r="U72">
        <v>0.41</v>
      </c>
      <c r="V72" s="15">
        <v>5975.35</v>
      </c>
      <c r="W72">
        <v>0.35499999999999998</v>
      </c>
      <c r="X72">
        <v>0.35499999999999998</v>
      </c>
    </row>
    <row r="73" spans="1:24" x14ac:dyDescent="0.2">
      <c r="A73">
        <v>173</v>
      </c>
      <c r="B73">
        <v>173</v>
      </c>
      <c r="C73" s="15" t="s">
        <v>156</v>
      </c>
      <c r="D73" s="15" t="s">
        <v>115</v>
      </c>
      <c r="E73" t="s">
        <v>345</v>
      </c>
      <c r="F73" s="15">
        <v>10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>
        <v>206443</v>
      </c>
      <c r="N73">
        <v>6484.54</v>
      </c>
      <c r="O73" t="s">
        <v>21</v>
      </c>
      <c r="P73">
        <v>37</v>
      </c>
      <c r="Q73">
        <v>19.8</v>
      </c>
      <c r="R73">
        <v>1</v>
      </c>
      <c r="S73">
        <v>2853.06</v>
      </c>
      <c r="T73">
        <v>1296</v>
      </c>
      <c r="U73">
        <v>37.5</v>
      </c>
      <c r="V73" s="15">
        <v>4668.8</v>
      </c>
      <c r="W73">
        <v>28.65</v>
      </c>
      <c r="X73">
        <v>28.65</v>
      </c>
    </row>
    <row r="74" spans="1:24" x14ac:dyDescent="0.2">
      <c r="A74">
        <v>174</v>
      </c>
      <c r="B74">
        <v>174</v>
      </c>
      <c r="C74" s="15" t="s">
        <v>156</v>
      </c>
      <c r="D74" s="15" t="s">
        <v>79</v>
      </c>
      <c r="E74" t="s">
        <v>346</v>
      </c>
      <c r="F74" s="15">
        <v>10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>
        <v>4774</v>
      </c>
      <c r="N74">
        <v>9871.1200000000008</v>
      </c>
      <c r="O74" t="s">
        <v>21</v>
      </c>
      <c r="P74">
        <v>38</v>
      </c>
      <c r="Q74">
        <v>0.51</v>
      </c>
      <c r="R74">
        <v>1</v>
      </c>
      <c r="S74">
        <v>1386.27</v>
      </c>
      <c r="T74">
        <v>581</v>
      </c>
      <c r="U74">
        <v>0.72</v>
      </c>
      <c r="V74" s="15">
        <v>5628.6949999999997</v>
      </c>
      <c r="W74">
        <v>0.61499999999999999</v>
      </c>
      <c r="X74">
        <v>0.61499999999999999</v>
      </c>
    </row>
    <row r="75" spans="1:24" x14ac:dyDescent="0.2">
      <c r="A75">
        <v>179</v>
      </c>
      <c r="B75">
        <v>179</v>
      </c>
      <c r="C75" s="15" t="s">
        <v>156</v>
      </c>
      <c r="D75" s="15" t="s">
        <v>115</v>
      </c>
      <c r="E75" t="s">
        <v>347</v>
      </c>
      <c r="F75" s="15">
        <v>10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>
        <v>20970</v>
      </c>
      <c r="N75">
        <v>10011.48</v>
      </c>
      <c r="O75" t="s">
        <v>21</v>
      </c>
      <c r="P75">
        <v>43</v>
      </c>
      <c r="Q75">
        <v>1.91</v>
      </c>
      <c r="R75">
        <v>1</v>
      </c>
      <c r="S75">
        <v>1972.57</v>
      </c>
      <c r="T75">
        <v>1067</v>
      </c>
      <c r="U75">
        <v>2.92</v>
      </c>
      <c r="V75" s="15">
        <v>5992.0249999999996</v>
      </c>
      <c r="W75">
        <v>2.415</v>
      </c>
      <c r="X75">
        <v>2.415</v>
      </c>
    </row>
    <row r="76" spans="1:24" x14ac:dyDescent="0.2">
      <c r="A76">
        <v>195</v>
      </c>
      <c r="B76">
        <v>195</v>
      </c>
      <c r="C76" s="15" t="s">
        <v>156</v>
      </c>
      <c r="D76" s="15" t="s">
        <v>97</v>
      </c>
      <c r="E76" t="s">
        <v>348</v>
      </c>
      <c r="F76" s="15">
        <v>10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>
        <v>251032</v>
      </c>
      <c r="N76">
        <v>11626.47</v>
      </c>
      <c r="O76" t="s">
        <v>21</v>
      </c>
      <c r="P76">
        <v>59</v>
      </c>
      <c r="Q76">
        <v>25.3</v>
      </c>
      <c r="R76">
        <v>1</v>
      </c>
      <c r="S76">
        <v>6206.29</v>
      </c>
      <c r="T76">
        <v>5951</v>
      </c>
      <c r="U76">
        <v>45.38</v>
      </c>
      <c r="V76" s="15">
        <v>8916.3799999999992</v>
      </c>
      <c r="W76">
        <v>35.340000000000003</v>
      </c>
      <c r="X76">
        <v>35.340000000000003</v>
      </c>
    </row>
    <row r="77" spans="1:24" x14ac:dyDescent="0.2">
      <c r="A77">
        <v>200</v>
      </c>
      <c r="B77">
        <v>200</v>
      </c>
      <c r="C77" s="15" t="s">
        <v>156</v>
      </c>
      <c r="D77" s="15" t="s">
        <v>79</v>
      </c>
      <c r="E77" t="s">
        <v>349</v>
      </c>
      <c r="F77" s="15">
        <v>10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>
        <v>316035</v>
      </c>
      <c r="N77">
        <v>4156.76</v>
      </c>
      <c r="O77" t="s">
        <v>21</v>
      </c>
      <c r="P77">
        <v>64</v>
      </c>
      <c r="Q77">
        <v>33.15</v>
      </c>
      <c r="R77">
        <v>1</v>
      </c>
      <c r="S77">
        <v>2585.3200000000002</v>
      </c>
      <c r="T77">
        <v>2215</v>
      </c>
      <c r="U77">
        <v>65.94</v>
      </c>
      <c r="V77" s="15">
        <v>3371.04</v>
      </c>
      <c r="W77">
        <v>49.545000000000002</v>
      </c>
      <c r="X77">
        <v>49.545000000000002</v>
      </c>
    </row>
    <row r="78" spans="1:24" x14ac:dyDescent="0.2">
      <c r="A78">
        <v>202</v>
      </c>
      <c r="B78">
        <v>202</v>
      </c>
      <c r="C78" s="15" t="s">
        <v>156</v>
      </c>
      <c r="D78" s="15" t="s">
        <v>79</v>
      </c>
      <c r="E78" t="s">
        <v>350</v>
      </c>
      <c r="F78" s="15">
        <v>10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>
        <v>58995</v>
      </c>
      <c r="N78">
        <v>10485.450000000001</v>
      </c>
      <c r="O78" t="s">
        <v>21</v>
      </c>
      <c r="P78">
        <v>66</v>
      </c>
      <c r="Q78">
        <v>6.8</v>
      </c>
      <c r="R78">
        <v>1</v>
      </c>
      <c r="S78">
        <v>2429.7800000000002</v>
      </c>
      <c r="T78">
        <v>445</v>
      </c>
      <c r="U78">
        <v>10.78</v>
      </c>
      <c r="V78" s="15">
        <v>6457.6149999999998</v>
      </c>
      <c r="W78">
        <v>8.7899999999999991</v>
      </c>
      <c r="X78">
        <v>8.7899999999999991</v>
      </c>
    </row>
    <row r="79" spans="1:24" x14ac:dyDescent="0.2">
      <c r="A79">
        <v>203</v>
      </c>
      <c r="B79">
        <v>203</v>
      </c>
      <c r="C79" s="15" t="s">
        <v>156</v>
      </c>
      <c r="D79" s="15" t="s">
        <v>115</v>
      </c>
      <c r="E79" t="s">
        <v>351</v>
      </c>
      <c r="F79" s="15">
        <v>10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>
        <v>19517</v>
      </c>
      <c r="N79">
        <v>10224.25</v>
      </c>
      <c r="O79" t="s">
        <v>21</v>
      </c>
      <c r="P79">
        <v>67</v>
      </c>
      <c r="Q79">
        <v>1.62</v>
      </c>
      <c r="R79">
        <v>1</v>
      </c>
      <c r="S79">
        <v>1486.59</v>
      </c>
      <c r="T79">
        <v>246</v>
      </c>
      <c r="U79">
        <v>2.4</v>
      </c>
      <c r="V79" s="15">
        <v>5855.42</v>
      </c>
      <c r="W79">
        <v>2.0099999999999998</v>
      </c>
      <c r="X79">
        <v>2.0099999999999998</v>
      </c>
    </row>
    <row r="80" spans="1:24" x14ac:dyDescent="0.2">
      <c r="A80">
        <v>204</v>
      </c>
      <c r="B80">
        <v>204</v>
      </c>
      <c r="C80" s="15" t="s">
        <v>156</v>
      </c>
      <c r="D80" s="15" t="s">
        <v>97</v>
      </c>
      <c r="E80" t="s">
        <v>352</v>
      </c>
      <c r="F80" s="15">
        <v>10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>
        <v>3600</v>
      </c>
      <c r="N80">
        <v>2507.83</v>
      </c>
      <c r="O80" t="s">
        <v>21</v>
      </c>
      <c r="P80">
        <v>68</v>
      </c>
      <c r="Q80">
        <v>0.26</v>
      </c>
      <c r="R80">
        <v>1</v>
      </c>
      <c r="S80">
        <v>135.53</v>
      </c>
      <c r="T80">
        <v>7</v>
      </c>
      <c r="U80">
        <v>0.13</v>
      </c>
      <c r="V80" s="15">
        <v>1321.68</v>
      </c>
      <c r="W80">
        <v>0.19500000000000001</v>
      </c>
      <c r="X80">
        <v>0.19500000000000001</v>
      </c>
    </row>
    <row r="81" spans="1:24" x14ac:dyDescent="0.2">
      <c r="A81">
        <v>205</v>
      </c>
      <c r="B81">
        <v>205</v>
      </c>
      <c r="C81" s="15" t="s">
        <v>156</v>
      </c>
      <c r="D81" s="15" t="s">
        <v>97</v>
      </c>
      <c r="E81" t="s">
        <v>353</v>
      </c>
      <c r="F81" s="15">
        <v>10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>
        <v>2149</v>
      </c>
      <c r="N81">
        <v>5430.07</v>
      </c>
      <c r="O81" t="s">
        <v>21</v>
      </c>
      <c r="P81">
        <v>69</v>
      </c>
      <c r="Q81">
        <v>0.17</v>
      </c>
      <c r="R81">
        <v>1</v>
      </c>
      <c r="S81">
        <v>477.44</v>
      </c>
      <c r="T81">
        <v>83</v>
      </c>
      <c r="U81">
        <v>0.28999999999999998</v>
      </c>
      <c r="V81" s="15">
        <v>2953.7550000000001</v>
      </c>
      <c r="W81">
        <v>0.23</v>
      </c>
      <c r="X81">
        <v>0.23</v>
      </c>
    </row>
    <row r="82" spans="1:24" x14ac:dyDescent="0.2">
      <c r="A82">
        <v>206</v>
      </c>
      <c r="B82">
        <v>206</v>
      </c>
      <c r="C82" s="15" t="s">
        <v>156</v>
      </c>
      <c r="D82" s="15" t="s">
        <v>79</v>
      </c>
      <c r="E82" t="s">
        <v>354</v>
      </c>
      <c r="F82" s="15">
        <v>10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>
        <v>10205</v>
      </c>
      <c r="N82">
        <v>3219.34</v>
      </c>
      <c r="O82" t="s">
        <v>21</v>
      </c>
      <c r="P82">
        <v>70</v>
      </c>
      <c r="Q82">
        <v>1.01</v>
      </c>
      <c r="R82">
        <v>1</v>
      </c>
      <c r="S82">
        <v>326.52</v>
      </c>
      <c r="T82">
        <v>112</v>
      </c>
      <c r="U82">
        <v>1.74</v>
      </c>
      <c r="V82" s="15">
        <v>1772.93</v>
      </c>
      <c r="W82">
        <v>1.375</v>
      </c>
      <c r="X82">
        <v>1.375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989A-126D-2042-941A-A730138A580B}">
  <dimension ref="A1:W103"/>
  <sheetViews>
    <sheetView workbookViewId="0">
      <selection activeCell="T22" sqref="T22"/>
    </sheetView>
  </sheetViews>
  <sheetFormatPr baseColWidth="10" defaultRowHeight="16" x14ac:dyDescent="0.2"/>
  <cols>
    <col min="8" max="10" width="10.83203125" style="7"/>
  </cols>
  <sheetData>
    <row r="1" spans="1:23" x14ac:dyDescent="0.2">
      <c r="A1" t="s">
        <v>14</v>
      </c>
      <c r="B1" t="s">
        <v>23</v>
      </c>
      <c r="C1" t="s">
        <v>24</v>
      </c>
      <c r="D1" t="s">
        <v>355</v>
      </c>
      <c r="E1" t="s">
        <v>15</v>
      </c>
      <c r="F1" t="s">
        <v>356</v>
      </c>
      <c r="G1" t="s">
        <v>3</v>
      </c>
      <c r="K1" t="s">
        <v>14</v>
      </c>
      <c r="L1" t="s">
        <v>23</v>
      </c>
      <c r="M1" t="s">
        <v>24</v>
      </c>
      <c r="N1" t="s">
        <v>355</v>
      </c>
      <c r="O1" t="s">
        <v>15</v>
      </c>
      <c r="P1" t="s">
        <v>16</v>
      </c>
      <c r="Q1" t="s">
        <v>18</v>
      </c>
      <c r="R1" t="s">
        <v>3</v>
      </c>
    </row>
    <row r="2" spans="1:23" x14ac:dyDescent="0.2">
      <c r="A2" t="s">
        <v>25</v>
      </c>
      <c r="B2" t="s">
        <v>26</v>
      </c>
      <c r="C2">
        <v>1</v>
      </c>
      <c r="D2">
        <v>73</v>
      </c>
      <c r="E2" t="s">
        <v>27</v>
      </c>
      <c r="F2" t="s">
        <v>357</v>
      </c>
      <c r="G2" t="s">
        <v>358</v>
      </c>
      <c r="K2" t="s">
        <v>25</v>
      </c>
      <c r="L2" t="s">
        <v>26</v>
      </c>
      <c r="M2">
        <v>1</v>
      </c>
      <c r="N2">
        <v>73</v>
      </c>
      <c r="O2" t="s">
        <v>27</v>
      </c>
      <c r="P2">
        <v>4</v>
      </c>
      <c r="Q2">
        <v>2.67</v>
      </c>
      <c r="R2" t="s">
        <v>359</v>
      </c>
      <c r="S2" t="s">
        <v>490</v>
      </c>
    </row>
    <row r="3" spans="1:23" x14ac:dyDescent="0.2">
      <c r="A3" t="s">
        <v>25</v>
      </c>
      <c r="B3" t="s">
        <v>26</v>
      </c>
      <c r="C3">
        <v>2</v>
      </c>
      <c r="D3">
        <v>153</v>
      </c>
      <c r="E3" t="s">
        <v>28</v>
      </c>
      <c r="F3" t="s">
        <v>357</v>
      </c>
      <c r="K3" t="s">
        <v>25</v>
      </c>
      <c r="L3" t="s">
        <v>26</v>
      </c>
      <c r="M3">
        <v>2</v>
      </c>
      <c r="N3">
        <v>209</v>
      </c>
      <c r="O3" t="s">
        <v>28</v>
      </c>
      <c r="P3">
        <v>4</v>
      </c>
      <c r="Q3">
        <v>2.6259999999999999</v>
      </c>
      <c r="S3" s="32" t="s">
        <v>462</v>
      </c>
      <c r="T3" s="32" t="s">
        <v>14</v>
      </c>
      <c r="U3" s="32" t="s">
        <v>465</v>
      </c>
      <c r="V3" s="32" t="s">
        <v>466</v>
      </c>
      <c r="W3" s="32" t="s">
        <v>468</v>
      </c>
    </row>
    <row r="4" spans="1:23" x14ac:dyDescent="0.2">
      <c r="A4" t="s">
        <v>25</v>
      </c>
      <c r="B4" t="s">
        <v>26</v>
      </c>
      <c r="C4">
        <v>3</v>
      </c>
      <c r="D4">
        <v>109</v>
      </c>
      <c r="E4" t="s">
        <v>29</v>
      </c>
      <c r="F4" t="s">
        <v>357</v>
      </c>
      <c r="K4" t="s">
        <v>25</v>
      </c>
      <c r="L4" t="s">
        <v>26</v>
      </c>
      <c r="M4">
        <v>3</v>
      </c>
      <c r="N4">
        <v>109</v>
      </c>
      <c r="O4" t="s">
        <v>29</v>
      </c>
      <c r="P4">
        <v>6</v>
      </c>
      <c r="Q4">
        <v>2.641</v>
      </c>
      <c r="S4" s="33">
        <v>1</v>
      </c>
      <c r="T4" s="33" t="s">
        <v>489</v>
      </c>
      <c r="U4" s="33" t="s">
        <v>79</v>
      </c>
      <c r="V4" s="33">
        <v>3</v>
      </c>
      <c r="W4" s="33">
        <v>376.28570000000002</v>
      </c>
    </row>
    <row r="5" spans="1:23" x14ac:dyDescent="0.2">
      <c r="A5" t="s">
        <v>25</v>
      </c>
      <c r="B5" t="s">
        <v>26</v>
      </c>
      <c r="C5">
        <v>4</v>
      </c>
      <c r="D5">
        <v>105</v>
      </c>
      <c r="E5" t="s">
        <v>30</v>
      </c>
      <c r="F5" t="s">
        <v>357</v>
      </c>
      <c r="K5" t="s">
        <v>25</v>
      </c>
      <c r="L5" t="s">
        <v>26</v>
      </c>
      <c r="M5">
        <v>4</v>
      </c>
      <c r="N5">
        <v>105</v>
      </c>
      <c r="O5" t="s">
        <v>30</v>
      </c>
      <c r="P5">
        <v>5</v>
      </c>
      <c r="Q5">
        <v>2.6549999999999998</v>
      </c>
      <c r="S5" s="33">
        <v>2</v>
      </c>
      <c r="T5" s="33" t="s">
        <v>489</v>
      </c>
      <c r="U5" s="33" t="s">
        <v>97</v>
      </c>
      <c r="V5" s="33">
        <v>3</v>
      </c>
      <c r="W5" s="33">
        <v>288</v>
      </c>
    </row>
    <row r="6" spans="1:23" x14ac:dyDescent="0.2">
      <c r="A6" t="s">
        <v>25</v>
      </c>
      <c r="B6" t="s">
        <v>26</v>
      </c>
      <c r="C6">
        <v>5</v>
      </c>
      <c r="D6">
        <v>113</v>
      </c>
      <c r="E6" t="s">
        <v>31</v>
      </c>
      <c r="F6" t="s">
        <v>357</v>
      </c>
      <c r="K6" t="s">
        <v>25</v>
      </c>
      <c r="L6" t="s">
        <v>26</v>
      </c>
      <c r="M6">
        <v>5</v>
      </c>
      <c r="N6">
        <v>113</v>
      </c>
      <c r="O6" t="s">
        <v>31</v>
      </c>
      <c r="P6">
        <v>5</v>
      </c>
      <c r="Q6">
        <v>2.512</v>
      </c>
      <c r="S6" s="33">
        <v>3</v>
      </c>
      <c r="T6" s="33" t="s">
        <v>489</v>
      </c>
      <c r="U6" s="33" t="s">
        <v>115</v>
      </c>
      <c r="V6" s="33">
        <v>3</v>
      </c>
      <c r="W6" s="33">
        <v>268.75</v>
      </c>
    </row>
    <row r="7" spans="1:23" x14ac:dyDescent="0.2">
      <c r="A7" t="s">
        <v>25</v>
      </c>
      <c r="B7" t="s">
        <v>26</v>
      </c>
      <c r="C7">
        <v>6</v>
      </c>
      <c r="D7">
        <v>49</v>
      </c>
      <c r="E7" t="s">
        <v>32</v>
      </c>
      <c r="F7" t="s">
        <v>357</v>
      </c>
      <c r="K7" t="s">
        <v>25</v>
      </c>
      <c r="L7" t="s">
        <v>26</v>
      </c>
      <c r="M7">
        <v>6</v>
      </c>
      <c r="N7">
        <v>49</v>
      </c>
      <c r="O7" t="s">
        <v>32</v>
      </c>
      <c r="P7">
        <v>4</v>
      </c>
      <c r="Q7">
        <v>2.657</v>
      </c>
      <c r="S7" s="33">
        <v>4</v>
      </c>
      <c r="T7" s="33" t="s">
        <v>153</v>
      </c>
      <c r="U7" s="33" t="s">
        <v>26</v>
      </c>
      <c r="V7" s="33">
        <v>7</v>
      </c>
      <c r="W7" s="33">
        <v>311</v>
      </c>
    </row>
    <row r="8" spans="1:23" x14ac:dyDescent="0.2">
      <c r="A8" t="s">
        <v>25</v>
      </c>
      <c r="B8" t="s">
        <v>26</v>
      </c>
      <c r="C8">
        <v>7</v>
      </c>
      <c r="D8">
        <v>50</v>
      </c>
      <c r="E8" t="s">
        <v>33</v>
      </c>
      <c r="F8" t="s">
        <v>357</v>
      </c>
      <c r="K8" t="s">
        <v>25</v>
      </c>
      <c r="L8" t="s">
        <v>26</v>
      </c>
      <c r="M8">
        <v>7</v>
      </c>
      <c r="N8">
        <v>50</v>
      </c>
      <c r="O8" t="s">
        <v>33</v>
      </c>
      <c r="P8">
        <v>4</v>
      </c>
      <c r="Q8">
        <v>2.6560000000000001</v>
      </c>
      <c r="S8" s="33">
        <v>5</v>
      </c>
      <c r="T8" s="33" t="s">
        <v>153</v>
      </c>
      <c r="U8" s="33" t="s">
        <v>44</v>
      </c>
      <c r="V8" s="33">
        <v>7</v>
      </c>
      <c r="W8" s="33">
        <v>121</v>
      </c>
    </row>
    <row r="9" spans="1:23" x14ac:dyDescent="0.2">
      <c r="A9" t="s">
        <v>25</v>
      </c>
      <c r="B9" t="s">
        <v>26</v>
      </c>
      <c r="C9">
        <v>8</v>
      </c>
      <c r="D9">
        <v>141</v>
      </c>
      <c r="E9" t="s">
        <v>34</v>
      </c>
      <c r="F9" t="s">
        <v>357</v>
      </c>
      <c r="K9" t="s">
        <v>25</v>
      </c>
      <c r="L9" t="s">
        <v>26</v>
      </c>
      <c r="M9">
        <v>8</v>
      </c>
      <c r="N9">
        <v>141</v>
      </c>
      <c r="O9" t="s">
        <v>34</v>
      </c>
      <c r="P9">
        <v>3</v>
      </c>
      <c r="Q9">
        <v>2.657</v>
      </c>
      <c r="S9" s="33">
        <v>6</v>
      </c>
      <c r="T9" s="33" t="s">
        <v>153</v>
      </c>
      <c r="U9" s="33" t="s">
        <v>60</v>
      </c>
      <c r="V9" s="33">
        <v>7</v>
      </c>
      <c r="W9" s="33">
        <v>176.25</v>
      </c>
    </row>
    <row r="10" spans="1:23" x14ac:dyDescent="0.2">
      <c r="A10" t="s">
        <v>25</v>
      </c>
      <c r="B10" t="s">
        <v>26</v>
      </c>
      <c r="C10">
        <v>9</v>
      </c>
      <c r="D10">
        <v>128</v>
      </c>
      <c r="E10" t="s">
        <v>35</v>
      </c>
      <c r="F10" t="s">
        <v>357</v>
      </c>
      <c r="K10" t="s">
        <v>25</v>
      </c>
      <c r="L10" t="s">
        <v>26</v>
      </c>
      <c r="M10">
        <v>9</v>
      </c>
      <c r="N10">
        <v>128</v>
      </c>
      <c r="O10" t="s">
        <v>35</v>
      </c>
      <c r="P10">
        <v>4</v>
      </c>
      <c r="Q10">
        <v>2.5840000000000001</v>
      </c>
    </row>
    <row r="11" spans="1:23" x14ac:dyDescent="0.2">
      <c r="A11" t="s">
        <v>25</v>
      </c>
      <c r="B11" t="s">
        <v>26</v>
      </c>
      <c r="C11">
        <v>10</v>
      </c>
      <c r="D11">
        <v>200</v>
      </c>
      <c r="E11" t="s">
        <v>36</v>
      </c>
      <c r="F11" t="s">
        <v>357</v>
      </c>
      <c r="K11" t="s">
        <v>25</v>
      </c>
      <c r="L11" t="s">
        <v>26</v>
      </c>
      <c r="M11">
        <v>10</v>
      </c>
      <c r="N11">
        <v>204</v>
      </c>
      <c r="O11" t="s">
        <v>36</v>
      </c>
      <c r="P11">
        <v>4</v>
      </c>
      <c r="Q11">
        <v>2.601</v>
      </c>
    </row>
    <row r="12" spans="1:23" x14ac:dyDescent="0.2">
      <c r="A12" t="s">
        <v>25</v>
      </c>
      <c r="B12" t="s">
        <v>26</v>
      </c>
      <c r="C12">
        <v>11</v>
      </c>
      <c r="D12">
        <v>61</v>
      </c>
      <c r="E12" t="s">
        <v>37</v>
      </c>
      <c r="F12" t="s">
        <v>357</v>
      </c>
      <c r="K12" t="s">
        <v>25</v>
      </c>
      <c r="L12" t="s">
        <v>26</v>
      </c>
      <c r="M12">
        <v>11</v>
      </c>
      <c r="N12">
        <v>61</v>
      </c>
      <c r="O12" t="s">
        <v>37</v>
      </c>
      <c r="P12">
        <v>6</v>
      </c>
      <c r="Q12">
        <v>2.6949999999999998</v>
      </c>
    </row>
    <row r="13" spans="1:23" x14ac:dyDescent="0.2">
      <c r="A13" t="s">
        <v>25</v>
      </c>
      <c r="B13" t="s">
        <v>26</v>
      </c>
      <c r="C13">
        <v>12</v>
      </c>
      <c r="D13">
        <v>493</v>
      </c>
      <c r="E13" t="s">
        <v>38</v>
      </c>
      <c r="F13" t="s">
        <v>357</v>
      </c>
      <c r="K13" t="s">
        <v>25</v>
      </c>
      <c r="L13" t="s">
        <v>26</v>
      </c>
      <c r="M13">
        <v>12</v>
      </c>
      <c r="N13">
        <v>529</v>
      </c>
      <c r="O13" t="s">
        <v>38</v>
      </c>
      <c r="P13">
        <v>3</v>
      </c>
      <c r="Q13">
        <v>2.5089999999999999</v>
      </c>
    </row>
    <row r="14" spans="1:23" x14ac:dyDescent="0.2">
      <c r="A14" t="s">
        <v>25</v>
      </c>
      <c r="B14" t="s">
        <v>26</v>
      </c>
      <c r="C14">
        <v>13</v>
      </c>
      <c r="D14">
        <v>206</v>
      </c>
      <c r="E14" t="s">
        <v>39</v>
      </c>
      <c r="F14" t="s">
        <v>357</v>
      </c>
      <c r="K14" t="s">
        <v>25</v>
      </c>
      <c r="L14" t="s">
        <v>26</v>
      </c>
      <c r="M14">
        <v>13</v>
      </c>
      <c r="N14">
        <v>311</v>
      </c>
      <c r="O14" t="s">
        <v>39</v>
      </c>
      <c r="P14">
        <v>7</v>
      </c>
      <c r="Q14">
        <v>2.7450000000000001</v>
      </c>
    </row>
    <row r="15" spans="1:23" x14ac:dyDescent="0.2">
      <c r="A15" t="s">
        <v>25</v>
      </c>
      <c r="B15" t="s">
        <v>26</v>
      </c>
      <c r="C15">
        <v>14</v>
      </c>
      <c r="D15">
        <v>31</v>
      </c>
      <c r="E15" t="s">
        <v>40</v>
      </c>
      <c r="F15" t="s">
        <v>357</v>
      </c>
      <c r="K15" t="s">
        <v>25</v>
      </c>
      <c r="L15" t="s">
        <v>26</v>
      </c>
      <c r="M15">
        <v>14</v>
      </c>
      <c r="N15">
        <v>31</v>
      </c>
      <c r="O15" t="s">
        <v>40</v>
      </c>
      <c r="P15">
        <v>4</v>
      </c>
      <c r="Q15">
        <v>2.528</v>
      </c>
    </row>
    <row r="16" spans="1:23" x14ac:dyDescent="0.2">
      <c r="A16" t="s">
        <v>25</v>
      </c>
      <c r="B16" t="s">
        <v>26</v>
      </c>
      <c r="C16">
        <v>15</v>
      </c>
      <c r="D16">
        <v>321</v>
      </c>
      <c r="E16" t="s">
        <v>41</v>
      </c>
      <c r="F16" t="s">
        <v>357</v>
      </c>
      <c r="K16" t="s">
        <v>25</v>
      </c>
      <c r="L16" t="s">
        <v>26</v>
      </c>
      <c r="M16">
        <v>15</v>
      </c>
      <c r="N16">
        <v>370</v>
      </c>
      <c r="O16" t="s">
        <v>41</v>
      </c>
      <c r="P16">
        <v>4</v>
      </c>
      <c r="Q16">
        <v>2.5489999999999999</v>
      </c>
    </row>
    <row r="17" spans="1:17" x14ac:dyDescent="0.2">
      <c r="A17" t="s">
        <v>25</v>
      </c>
      <c r="B17" t="s">
        <v>26</v>
      </c>
      <c r="C17">
        <v>16</v>
      </c>
      <c r="D17">
        <v>166</v>
      </c>
      <c r="E17" t="s">
        <v>42</v>
      </c>
      <c r="F17" t="s">
        <v>357</v>
      </c>
      <c r="K17" t="s">
        <v>25</v>
      </c>
      <c r="L17" t="s">
        <v>26</v>
      </c>
      <c r="M17">
        <v>16</v>
      </c>
      <c r="N17">
        <v>207</v>
      </c>
      <c r="O17" t="s">
        <v>42</v>
      </c>
      <c r="P17">
        <v>6</v>
      </c>
      <c r="Q17" t="s">
        <v>21</v>
      </c>
    </row>
    <row r="18" spans="1:17" x14ac:dyDescent="0.2">
      <c r="A18" t="s">
        <v>25</v>
      </c>
      <c r="B18" t="s">
        <v>26</v>
      </c>
      <c r="C18">
        <v>17</v>
      </c>
      <c r="D18">
        <v>200</v>
      </c>
      <c r="E18" t="s">
        <v>43</v>
      </c>
      <c r="F18" t="s">
        <v>357</v>
      </c>
      <c r="K18" t="s">
        <v>25</v>
      </c>
      <c r="L18" t="s">
        <v>26</v>
      </c>
      <c r="M18">
        <v>17</v>
      </c>
      <c r="N18">
        <v>232</v>
      </c>
      <c r="O18" t="s">
        <v>43</v>
      </c>
      <c r="P18">
        <v>6</v>
      </c>
      <c r="Q18" t="s">
        <v>21</v>
      </c>
    </row>
    <row r="19" spans="1:17" x14ac:dyDescent="0.2">
      <c r="A19" t="s">
        <v>25</v>
      </c>
      <c r="B19" t="s">
        <v>44</v>
      </c>
      <c r="C19">
        <v>1</v>
      </c>
      <c r="D19">
        <v>31</v>
      </c>
      <c r="E19" t="s">
        <v>6</v>
      </c>
      <c r="F19" t="s">
        <v>357</v>
      </c>
      <c r="K19" t="s">
        <v>25</v>
      </c>
      <c r="L19" t="s">
        <v>44</v>
      </c>
      <c r="M19">
        <v>1</v>
      </c>
      <c r="N19">
        <v>31</v>
      </c>
      <c r="O19" t="s">
        <v>6</v>
      </c>
      <c r="P19">
        <v>7</v>
      </c>
      <c r="Q19">
        <v>2.5209999999999999</v>
      </c>
    </row>
    <row r="20" spans="1:17" x14ac:dyDescent="0.2">
      <c r="A20" t="s">
        <v>25</v>
      </c>
      <c r="B20" t="s">
        <v>44</v>
      </c>
      <c r="C20">
        <v>2</v>
      </c>
      <c r="D20">
        <v>214</v>
      </c>
      <c r="E20" t="s">
        <v>7</v>
      </c>
      <c r="F20" t="s">
        <v>357</v>
      </c>
      <c r="K20" t="s">
        <v>25</v>
      </c>
      <c r="L20" t="s">
        <v>44</v>
      </c>
      <c r="M20">
        <v>2</v>
      </c>
      <c r="N20">
        <v>214</v>
      </c>
      <c r="O20" t="s">
        <v>7</v>
      </c>
      <c r="P20">
        <v>6</v>
      </c>
      <c r="Q20">
        <v>2.585</v>
      </c>
    </row>
    <row r="21" spans="1:17" x14ac:dyDescent="0.2">
      <c r="A21" t="s">
        <v>25</v>
      </c>
      <c r="B21" t="s">
        <v>44</v>
      </c>
      <c r="C21">
        <v>3</v>
      </c>
      <c r="D21">
        <v>190</v>
      </c>
      <c r="E21" t="s">
        <v>45</v>
      </c>
      <c r="F21" t="s">
        <v>357</v>
      </c>
      <c r="K21" t="s">
        <v>25</v>
      </c>
      <c r="L21" t="s">
        <v>44</v>
      </c>
      <c r="M21">
        <v>3</v>
      </c>
      <c r="N21">
        <v>190</v>
      </c>
      <c r="O21" t="s">
        <v>45</v>
      </c>
      <c r="P21">
        <v>6</v>
      </c>
      <c r="Q21">
        <v>2.5339999999999998</v>
      </c>
    </row>
    <row r="22" spans="1:17" x14ac:dyDescent="0.2">
      <c r="A22" t="s">
        <v>25</v>
      </c>
      <c r="B22" t="s">
        <v>44</v>
      </c>
      <c r="C22">
        <v>4</v>
      </c>
      <c r="D22">
        <v>264</v>
      </c>
      <c r="E22" t="s">
        <v>46</v>
      </c>
      <c r="F22" t="s">
        <v>357</v>
      </c>
      <c r="K22" t="s">
        <v>25</v>
      </c>
      <c r="L22" t="s">
        <v>44</v>
      </c>
      <c r="M22">
        <v>4</v>
      </c>
      <c r="N22">
        <v>274</v>
      </c>
      <c r="O22" t="s">
        <v>46</v>
      </c>
      <c r="P22">
        <v>5</v>
      </c>
      <c r="Q22">
        <v>2.6419999999999999</v>
      </c>
    </row>
    <row r="23" spans="1:17" x14ac:dyDescent="0.2">
      <c r="A23" t="s">
        <v>25</v>
      </c>
      <c r="B23" t="s">
        <v>44</v>
      </c>
      <c r="C23">
        <v>5</v>
      </c>
      <c r="D23">
        <v>132</v>
      </c>
      <c r="E23" t="s">
        <v>47</v>
      </c>
      <c r="F23" t="s">
        <v>357</v>
      </c>
      <c r="K23" t="s">
        <v>25</v>
      </c>
      <c r="L23" t="s">
        <v>44</v>
      </c>
      <c r="M23">
        <v>5</v>
      </c>
      <c r="N23">
        <v>132</v>
      </c>
      <c r="O23" t="s">
        <v>47</v>
      </c>
      <c r="P23">
        <v>5</v>
      </c>
      <c r="Q23">
        <v>2.4689999999999999</v>
      </c>
    </row>
    <row r="24" spans="1:17" x14ac:dyDescent="0.2">
      <c r="A24" t="s">
        <v>25</v>
      </c>
      <c r="B24" t="s">
        <v>44</v>
      </c>
      <c r="C24">
        <v>6</v>
      </c>
      <c r="D24">
        <v>172</v>
      </c>
      <c r="E24" t="s">
        <v>48</v>
      </c>
      <c r="F24" t="s">
        <v>357</v>
      </c>
      <c r="K24" t="s">
        <v>25</v>
      </c>
      <c r="L24" t="s">
        <v>44</v>
      </c>
      <c r="M24">
        <v>6</v>
      </c>
      <c r="N24">
        <v>236</v>
      </c>
      <c r="O24" t="s">
        <v>48</v>
      </c>
      <c r="P24">
        <v>7</v>
      </c>
      <c r="Q24">
        <v>2.5790000000000002</v>
      </c>
    </row>
    <row r="25" spans="1:17" x14ac:dyDescent="0.2">
      <c r="A25" t="s">
        <v>25</v>
      </c>
      <c r="B25" t="s">
        <v>44</v>
      </c>
      <c r="C25">
        <v>7</v>
      </c>
      <c r="D25">
        <v>145</v>
      </c>
      <c r="E25" t="s">
        <v>49</v>
      </c>
      <c r="F25" t="s">
        <v>357</v>
      </c>
      <c r="K25" t="s">
        <v>25</v>
      </c>
      <c r="L25" t="s">
        <v>44</v>
      </c>
      <c r="M25">
        <v>7</v>
      </c>
      <c r="N25">
        <v>145</v>
      </c>
      <c r="O25" t="s">
        <v>49</v>
      </c>
      <c r="P25">
        <v>7</v>
      </c>
      <c r="Q25">
        <v>2.6629999999999998</v>
      </c>
    </row>
    <row r="26" spans="1:17" x14ac:dyDescent="0.2">
      <c r="A26" t="s">
        <v>25</v>
      </c>
      <c r="B26" t="s">
        <v>44</v>
      </c>
      <c r="C26">
        <v>8</v>
      </c>
      <c r="D26">
        <v>72</v>
      </c>
      <c r="E26" t="s">
        <v>50</v>
      </c>
      <c r="F26" t="s">
        <v>357</v>
      </c>
      <c r="K26" t="s">
        <v>25</v>
      </c>
      <c r="L26" t="s">
        <v>44</v>
      </c>
      <c r="M26">
        <v>8</v>
      </c>
      <c r="N26">
        <v>72</v>
      </c>
      <c r="O26" t="s">
        <v>50</v>
      </c>
      <c r="P26">
        <v>7</v>
      </c>
      <c r="Q26">
        <v>2.6709999999999998</v>
      </c>
    </row>
    <row r="27" spans="1:17" x14ac:dyDescent="0.2">
      <c r="A27" t="s">
        <v>25</v>
      </c>
      <c r="B27" t="s">
        <v>44</v>
      </c>
      <c r="C27">
        <v>9</v>
      </c>
      <c r="D27">
        <v>205</v>
      </c>
      <c r="E27" t="s">
        <v>51</v>
      </c>
      <c r="F27" t="s">
        <v>357</v>
      </c>
      <c r="K27" t="s">
        <v>25</v>
      </c>
      <c r="L27" t="s">
        <v>44</v>
      </c>
      <c r="M27">
        <v>9</v>
      </c>
      <c r="N27">
        <v>220</v>
      </c>
      <c r="O27" t="s">
        <v>51</v>
      </c>
      <c r="P27">
        <v>4</v>
      </c>
      <c r="Q27">
        <v>2.6829999999999998</v>
      </c>
    </row>
    <row r="28" spans="1:17" x14ac:dyDescent="0.2">
      <c r="A28" t="s">
        <v>25</v>
      </c>
      <c r="B28" t="s">
        <v>44</v>
      </c>
      <c r="C28">
        <v>10</v>
      </c>
      <c r="D28">
        <v>160</v>
      </c>
      <c r="E28" t="s">
        <v>52</v>
      </c>
      <c r="F28" t="s">
        <v>357</v>
      </c>
      <c r="K28" t="s">
        <v>25</v>
      </c>
      <c r="L28" t="s">
        <v>44</v>
      </c>
      <c r="M28">
        <v>10</v>
      </c>
      <c r="N28">
        <v>161</v>
      </c>
      <c r="O28" t="s">
        <v>52</v>
      </c>
      <c r="P28">
        <v>8</v>
      </c>
      <c r="Q28">
        <v>2.6230000000000002</v>
      </c>
    </row>
    <row r="29" spans="1:17" x14ac:dyDescent="0.2">
      <c r="A29" t="s">
        <v>25</v>
      </c>
      <c r="B29" t="s">
        <v>44</v>
      </c>
      <c r="C29">
        <v>11</v>
      </c>
      <c r="D29">
        <v>144</v>
      </c>
      <c r="E29" t="s">
        <v>53</v>
      </c>
      <c r="F29" t="s">
        <v>357</v>
      </c>
      <c r="K29" t="s">
        <v>25</v>
      </c>
      <c r="L29" t="s">
        <v>44</v>
      </c>
      <c r="M29">
        <v>11</v>
      </c>
      <c r="N29">
        <v>144</v>
      </c>
      <c r="O29" t="s">
        <v>53</v>
      </c>
      <c r="P29">
        <v>8</v>
      </c>
      <c r="Q29">
        <v>2.468</v>
      </c>
    </row>
    <row r="30" spans="1:17" x14ac:dyDescent="0.2">
      <c r="A30" t="s">
        <v>25</v>
      </c>
      <c r="B30" t="s">
        <v>44</v>
      </c>
      <c r="C30">
        <v>12</v>
      </c>
      <c r="D30">
        <v>200</v>
      </c>
      <c r="E30" t="s">
        <v>54</v>
      </c>
      <c r="F30" t="s">
        <v>357</v>
      </c>
      <c r="K30" t="s">
        <v>25</v>
      </c>
      <c r="L30" t="s">
        <v>44</v>
      </c>
      <c r="M30">
        <v>12</v>
      </c>
      <c r="N30">
        <v>200</v>
      </c>
      <c r="O30" t="s">
        <v>54</v>
      </c>
      <c r="P30">
        <v>5</v>
      </c>
      <c r="Q30">
        <v>2.4300000000000002</v>
      </c>
    </row>
    <row r="31" spans="1:17" x14ac:dyDescent="0.2">
      <c r="A31" t="s">
        <v>25</v>
      </c>
      <c r="B31" t="s">
        <v>44</v>
      </c>
      <c r="C31">
        <v>13</v>
      </c>
      <c r="D31">
        <v>282</v>
      </c>
      <c r="E31" t="s">
        <v>55</v>
      </c>
      <c r="F31" t="s">
        <v>357</v>
      </c>
      <c r="K31" t="s">
        <v>25</v>
      </c>
      <c r="L31" t="s">
        <v>44</v>
      </c>
      <c r="M31">
        <v>13</v>
      </c>
      <c r="N31">
        <v>282</v>
      </c>
      <c r="O31" t="s">
        <v>55</v>
      </c>
      <c r="P31">
        <v>4</v>
      </c>
      <c r="Q31">
        <v>2.419</v>
      </c>
    </row>
    <row r="32" spans="1:17" x14ac:dyDescent="0.2">
      <c r="A32" t="s">
        <v>25</v>
      </c>
      <c r="B32" t="s">
        <v>44</v>
      </c>
      <c r="C32">
        <v>14</v>
      </c>
      <c r="D32">
        <v>437</v>
      </c>
      <c r="E32" t="s">
        <v>56</v>
      </c>
      <c r="F32" t="s">
        <v>357</v>
      </c>
      <c r="K32" t="s">
        <v>25</v>
      </c>
      <c r="L32" t="s">
        <v>44</v>
      </c>
      <c r="M32">
        <v>14</v>
      </c>
      <c r="N32">
        <v>437</v>
      </c>
      <c r="O32" t="s">
        <v>56</v>
      </c>
      <c r="P32">
        <v>9</v>
      </c>
      <c r="Q32">
        <v>2.3769999999999998</v>
      </c>
    </row>
    <row r="33" spans="1:17" x14ac:dyDescent="0.2">
      <c r="A33" t="s">
        <v>25</v>
      </c>
      <c r="B33" t="s">
        <v>44</v>
      </c>
      <c r="C33">
        <v>15</v>
      </c>
      <c r="D33">
        <v>195</v>
      </c>
      <c r="E33" t="s">
        <v>57</v>
      </c>
      <c r="F33" t="s">
        <v>357</v>
      </c>
      <c r="K33" t="s">
        <v>25</v>
      </c>
      <c r="L33" t="s">
        <v>44</v>
      </c>
      <c r="M33">
        <v>15</v>
      </c>
      <c r="N33">
        <v>195</v>
      </c>
      <c r="O33" t="s">
        <v>57</v>
      </c>
      <c r="P33">
        <v>6</v>
      </c>
      <c r="Q33">
        <v>2.5720000000000001</v>
      </c>
    </row>
    <row r="34" spans="1:17" x14ac:dyDescent="0.2">
      <c r="A34" t="s">
        <v>25</v>
      </c>
      <c r="B34" t="s">
        <v>44</v>
      </c>
      <c r="C34">
        <v>16</v>
      </c>
      <c r="D34">
        <v>193</v>
      </c>
      <c r="E34" t="s">
        <v>58</v>
      </c>
      <c r="F34" t="s">
        <v>357</v>
      </c>
      <c r="K34" t="s">
        <v>25</v>
      </c>
      <c r="L34" t="s">
        <v>44</v>
      </c>
      <c r="M34">
        <v>16</v>
      </c>
      <c r="N34">
        <v>193</v>
      </c>
      <c r="O34" t="s">
        <v>58</v>
      </c>
      <c r="P34">
        <v>6</v>
      </c>
      <c r="Q34" t="s">
        <v>21</v>
      </c>
    </row>
    <row r="35" spans="1:17" x14ac:dyDescent="0.2">
      <c r="A35" t="s">
        <v>25</v>
      </c>
      <c r="B35" t="s">
        <v>44</v>
      </c>
      <c r="C35">
        <v>17</v>
      </c>
      <c r="D35">
        <v>124</v>
      </c>
      <c r="E35" t="s">
        <v>59</v>
      </c>
      <c r="F35" t="s">
        <v>357</v>
      </c>
      <c r="K35" t="s">
        <v>25</v>
      </c>
      <c r="L35" t="s">
        <v>44</v>
      </c>
      <c r="M35">
        <v>17</v>
      </c>
      <c r="N35">
        <v>124</v>
      </c>
      <c r="O35" t="s">
        <v>59</v>
      </c>
      <c r="P35">
        <v>8</v>
      </c>
      <c r="Q35" t="s">
        <v>21</v>
      </c>
    </row>
    <row r="36" spans="1:17" x14ac:dyDescent="0.2">
      <c r="A36" t="s">
        <v>25</v>
      </c>
      <c r="B36" t="s">
        <v>60</v>
      </c>
      <c r="C36">
        <v>1</v>
      </c>
      <c r="D36">
        <v>350</v>
      </c>
      <c r="E36" t="s">
        <v>61</v>
      </c>
      <c r="F36" t="s">
        <v>357</v>
      </c>
      <c r="K36" t="s">
        <v>25</v>
      </c>
      <c r="L36" t="s">
        <v>60</v>
      </c>
      <c r="M36">
        <v>1</v>
      </c>
      <c r="N36">
        <v>359</v>
      </c>
      <c r="O36" t="s">
        <v>61</v>
      </c>
      <c r="P36">
        <v>5</v>
      </c>
      <c r="Q36">
        <v>2.5939999999999999</v>
      </c>
    </row>
    <row r="37" spans="1:17" x14ac:dyDescent="0.2">
      <c r="A37" t="s">
        <v>25</v>
      </c>
      <c r="B37" t="s">
        <v>60</v>
      </c>
      <c r="C37">
        <v>2</v>
      </c>
      <c r="D37">
        <v>151</v>
      </c>
      <c r="E37" t="s">
        <v>62</v>
      </c>
      <c r="F37" t="s">
        <v>357</v>
      </c>
      <c r="K37" t="s">
        <v>25</v>
      </c>
      <c r="L37" t="s">
        <v>60</v>
      </c>
      <c r="M37">
        <v>2</v>
      </c>
      <c r="N37">
        <v>151</v>
      </c>
      <c r="O37" t="s">
        <v>62</v>
      </c>
      <c r="P37">
        <v>4</v>
      </c>
      <c r="Q37">
        <v>2.4740000000000002</v>
      </c>
    </row>
    <row r="38" spans="1:17" x14ac:dyDescent="0.2">
      <c r="A38" t="s">
        <v>25</v>
      </c>
      <c r="B38" t="s">
        <v>60</v>
      </c>
      <c r="C38">
        <v>3</v>
      </c>
      <c r="D38">
        <v>224</v>
      </c>
      <c r="E38" t="s">
        <v>63</v>
      </c>
      <c r="F38" t="s">
        <v>357</v>
      </c>
      <c r="K38" t="s">
        <v>25</v>
      </c>
      <c r="L38" t="s">
        <v>60</v>
      </c>
      <c r="M38">
        <v>3</v>
      </c>
      <c r="N38">
        <v>314</v>
      </c>
      <c r="O38" t="s">
        <v>63</v>
      </c>
      <c r="P38">
        <v>8</v>
      </c>
      <c r="Q38">
        <v>2.4249999999999998</v>
      </c>
    </row>
    <row r="39" spans="1:17" x14ac:dyDescent="0.2">
      <c r="A39" t="s">
        <v>25</v>
      </c>
      <c r="B39" t="s">
        <v>60</v>
      </c>
      <c r="C39">
        <v>4</v>
      </c>
      <c r="D39">
        <v>317</v>
      </c>
      <c r="E39" t="s">
        <v>64</v>
      </c>
      <c r="F39" t="s">
        <v>357</v>
      </c>
      <c r="K39" t="s">
        <v>25</v>
      </c>
      <c r="L39" t="s">
        <v>60</v>
      </c>
      <c r="M39">
        <v>4</v>
      </c>
      <c r="N39">
        <v>328</v>
      </c>
      <c r="O39" t="s">
        <v>64</v>
      </c>
      <c r="P39">
        <v>5</v>
      </c>
      <c r="Q39">
        <v>2.548</v>
      </c>
    </row>
    <row r="40" spans="1:17" x14ac:dyDescent="0.2">
      <c r="A40" t="s">
        <v>25</v>
      </c>
      <c r="B40" t="s">
        <v>60</v>
      </c>
      <c r="C40">
        <v>5</v>
      </c>
      <c r="D40">
        <v>65</v>
      </c>
      <c r="E40" t="s">
        <v>65</v>
      </c>
      <c r="F40" t="s">
        <v>357</v>
      </c>
      <c r="K40" t="s">
        <v>25</v>
      </c>
      <c r="L40" t="s">
        <v>60</v>
      </c>
      <c r="M40">
        <v>5</v>
      </c>
      <c r="N40">
        <v>65</v>
      </c>
      <c r="O40" t="s">
        <v>65</v>
      </c>
      <c r="P40">
        <v>5</v>
      </c>
      <c r="Q40">
        <v>2.6309999999999998</v>
      </c>
    </row>
    <row r="41" spans="1:17" x14ac:dyDescent="0.2">
      <c r="A41" t="s">
        <v>25</v>
      </c>
      <c r="B41" t="s">
        <v>60</v>
      </c>
      <c r="C41">
        <v>6</v>
      </c>
      <c r="D41">
        <v>156</v>
      </c>
      <c r="E41" t="s">
        <v>66</v>
      </c>
      <c r="F41" t="s">
        <v>357</v>
      </c>
      <c r="K41" t="s">
        <v>25</v>
      </c>
      <c r="L41" t="s">
        <v>60</v>
      </c>
      <c r="M41">
        <v>6</v>
      </c>
      <c r="N41">
        <v>181</v>
      </c>
      <c r="O41" t="s">
        <v>66</v>
      </c>
      <c r="P41">
        <v>6</v>
      </c>
      <c r="Q41">
        <v>2.3530000000000002</v>
      </c>
    </row>
    <row r="42" spans="1:17" x14ac:dyDescent="0.2">
      <c r="A42" t="s">
        <v>25</v>
      </c>
      <c r="B42" t="s">
        <v>60</v>
      </c>
      <c r="C42">
        <v>7</v>
      </c>
      <c r="D42">
        <v>363</v>
      </c>
      <c r="E42" t="s">
        <v>67</v>
      </c>
      <c r="F42" t="s">
        <v>357</v>
      </c>
      <c r="K42" t="s">
        <v>25</v>
      </c>
      <c r="L42" t="s">
        <v>60</v>
      </c>
      <c r="M42">
        <v>7</v>
      </c>
      <c r="N42">
        <v>493</v>
      </c>
      <c r="O42" t="s">
        <v>67</v>
      </c>
      <c r="P42">
        <v>9</v>
      </c>
      <c r="Q42">
        <v>2.476</v>
      </c>
    </row>
    <row r="43" spans="1:17" x14ac:dyDescent="0.2">
      <c r="A43" t="s">
        <v>25</v>
      </c>
      <c r="B43" t="s">
        <v>60</v>
      </c>
      <c r="C43">
        <v>8</v>
      </c>
      <c r="D43">
        <v>156</v>
      </c>
      <c r="E43" t="s">
        <v>68</v>
      </c>
      <c r="F43" t="s">
        <v>357</v>
      </c>
      <c r="K43" t="s">
        <v>25</v>
      </c>
      <c r="L43" t="s">
        <v>60</v>
      </c>
      <c r="M43">
        <v>8</v>
      </c>
      <c r="N43">
        <v>156</v>
      </c>
      <c r="O43" t="s">
        <v>68</v>
      </c>
      <c r="P43">
        <v>4</v>
      </c>
      <c r="Q43">
        <v>2.48</v>
      </c>
    </row>
    <row r="44" spans="1:17" x14ac:dyDescent="0.2">
      <c r="A44" t="s">
        <v>25</v>
      </c>
      <c r="B44" t="s">
        <v>60</v>
      </c>
      <c r="C44">
        <v>9</v>
      </c>
      <c r="D44">
        <v>93</v>
      </c>
      <c r="E44" t="s">
        <v>69</v>
      </c>
      <c r="F44" t="s">
        <v>357</v>
      </c>
      <c r="K44" t="s">
        <v>25</v>
      </c>
      <c r="L44" t="s">
        <v>60</v>
      </c>
      <c r="M44">
        <v>9</v>
      </c>
      <c r="N44">
        <v>93</v>
      </c>
      <c r="O44" t="s">
        <v>69</v>
      </c>
      <c r="P44">
        <v>7</v>
      </c>
      <c r="Q44">
        <v>2.5680000000000001</v>
      </c>
    </row>
    <row r="45" spans="1:17" x14ac:dyDescent="0.2">
      <c r="A45" t="s">
        <v>25</v>
      </c>
      <c r="B45" t="s">
        <v>60</v>
      </c>
      <c r="C45">
        <v>10</v>
      </c>
      <c r="D45">
        <v>171</v>
      </c>
      <c r="E45" t="s">
        <v>70</v>
      </c>
      <c r="F45" t="s">
        <v>357</v>
      </c>
      <c r="K45" t="s">
        <v>25</v>
      </c>
      <c r="L45" t="s">
        <v>60</v>
      </c>
      <c r="M45">
        <v>10</v>
      </c>
      <c r="N45">
        <v>171</v>
      </c>
      <c r="O45" t="s">
        <v>70</v>
      </c>
      <c r="P45">
        <v>5</v>
      </c>
      <c r="Q45">
        <v>2.6320000000000001</v>
      </c>
    </row>
    <row r="46" spans="1:17" x14ac:dyDescent="0.2">
      <c r="A46" t="s">
        <v>25</v>
      </c>
      <c r="B46" t="s">
        <v>60</v>
      </c>
      <c r="C46">
        <v>11</v>
      </c>
      <c r="D46">
        <v>120</v>
      </c>
      <c r="E46" t="s">
        <v>71</v>
      </c>
      <c r="F46" t="s">
        <v>357</v>
      </c>
      <c r="K46" t="s">
        <v>25</v>
      </c>
      <c r="L46" t="s">
        <v>60</v>
      </c>
      <c r="M46">
        <v>11</v>
      </c>
      <c r="N46">
        <v>120</v>
      </c>
      <c r="O46" t="s">
        <v>71</v>
      </c>
      <c r="P46">
        <v>5</v>
      </c>
      <c r="Q46">
        <v>2.5750000000000002</v>
      </c>
    </row>
    <row r="47" spans="1:17" x14ac:dyDescent="0.2">
      <c r="A47" t="s">
        <v>25</v>
      </c>
      <c r="B47" t="s">
        <v>60</v>
      </c>
      <c r="C47">
        <v>12</v>
      </c>
      <c r="D47">
        <v>387</v>
      </c>
      <c r="E47" t="s">
        <v>72</v>
      </c>
      <c r="F47" t="s">
        <v>357</v>
      </c>
      <c r="K47" t="s">
        <v>25</v>
      </c>
      <c r="L47" t="s">
        <v>60</v>
      </c>
      <c r="M47">
        <v>12</v>
      </c>
      <c r="N47">
        <v>447</v>
      </c>
      <c r="O47" t="s">
        <v>72</v>
      </c>
      <c r="P47">
        <v>7</v>
      </c>
      <c r="Q47">
        <v>2.681</v>
      </c>
    </row>
    <row r="48" spans="1:17" x14ac:dyDescent="0.2">
      <c r="A48" t="s">
        <v>25</v>
      </c>
      <c r="B48" t="s">
        <v>60</v>
      </c>
      <c r="C48">
        <v>13</v>
      </c>
      <c r="D48">
        <v>171</v>
      </c>
      <c r="E48" t="s">
        <v>73</v>
      </c>
      <c r="F48" t="s">
        <v>357</v>
      </c>
      <c r="K48" t="s">
        <v>25</v>
      </c>
      <c r="L48" t="s">
        <v>60</v>
      </c>
      <c r="M48">
        <v>13</v>
      </c>
      <c r="N48">
        <v>171</v>
      </c>
      <c r="O48" t="s">
        <v>73</v>
      </c>
      <c r="P48">
        <v>5</v>
      </c>
      <c r="Q48">
        <v>2.702</v>
      </c>
    </row>
    <row r="49" spans="1:17" x14ac:dyDescent="0.2">
      <c r="A49" t="s">
        <v>25</v>
      </c>
      <c r="B49" t="s">
        <v>60</v>
      </c>
      <c r="C49">
        <v>14</v>
      </c>
      <c r="D49">
        <v>378</v>
      </c>
      <c r="E49" t="s">
        <v>74</v>
      </c>
      <c r="F49" t="s">
        <v>357</v>
      </c>
      <c r="K49" t="s">
        <v>25</v>
      </c>
      <c r="L49" t="s">
        <v>60</v>
      </c>
      <c r="M49">
        <v>14</v>
      </c>
      <c r="N49">
        <v>400</v>
      </c>
      <c r="O49" t="s">
        <v>74</v>
      </c>
      <c r="P49">
        <v>8</v>
      </c>
      <c r="Q49">
        <v>2.5529999999999999</v>
      </c>
    </row>
    <row r="50" spans="1:17" x14ac:dyDescent="0.2">
      <c r="A50" t="s">
        <v>25</v>
      </c>
      <c r="B50" t="s">
        <v>60</v>
      </c>
      <c r="C50">
        <v>15</v>
      </c>
      <c r="D50">
        <v>94</v>
      </c>
      <c r="E50" t="s">
        <v>75</v>
      </c>
      <c r="F50" t="s">
        <v>357</v>
      </c>
      <c r="K50" t="s">
        <v>25</v>
      </c>
      <c r="L50" t="s">
        <v>60</v>
      </c>
      <c r="M50">
        <v>15</v>
      </c>
      <c r="N50">
        <v>94</v>
      </c>
      <c r="O50" t="s">
        <v>75</v>
      </c>
      <c r="P50">
        <v>7</v>
      </c>
      <c r="Q50">
        <v>2.56</v>
      </c>
    </row>
    <row r="51" spans="1:17" x14ac:dyDescent="0.2">
      <c r="A51" t="s">
        <v>25</v>
      </c>
      <c r="B51" t="s">
        <v>60</v>
      </c>
      <c r="C51">
        <v>16</v>
      </c>
      <c r="D51">
        <v>87</v>
      </c>
      <c r="E51" t="s">
        <v>76</v>
      </c>
      <c r="F51" t="s">
        <v>357</v>
      </c>
      <c r="K51" t="s">
        <v>25</v>
      </c>
      <c r="L51" t="s">
        <v>60</v>
      </c>
      <c r="M51">
        <v>16</v>
      </c>
      <c r="N51">
        <v>87</v>
      </c>
      <c r="O51" t="s">
        <v>76</v>
      </c>
      <c r="P51">
        <v>5</v>
      </c>
      <c r="Q51" t="s">
        <v>21</v>
      </c>
    </row>
    <row r="52" spans="1:17" x14ac:dyDescent="0.2">
      <c r="A52" t="s">
        <v>25</v>
      </c>
      <c r="B52" t="s">
        <v>60</v>
      </c>
      <c r="C52">
        <v>17</v>
      </c>
      <c r="D52">
        <v>71</v>
      </c>
      <c r="E52" t="s">
        <v>77</v>
      </c>
      <c r="F52" t="s">
        <v>357</v>
      </c>
      <c r="K52" t="s">
        <v>25</v>
      </c>
      <c r="L52" t="s">
        <v>60</v>
      </c>
      <c r="M52">
        <v>17</v>
      </c>
      <c r="N52">
        <v>71</v>
      </c>
      <c r="O52" t="s">
        <v>77</v>
      </c>
      <c r="P52">
        <v>7</v>
      </c>
      <c r="Q52" t="s">
        <v>21</v>
      </c>
    </row>
    <row r="53" spans="1:17" x14ac:dyDescent="0.2">
      <c r="A53" t="s">
        <v>78</v>
      </c>
      <c r="B53" t="s">
        <v>79</v>
      </c>
      <c r="C53">
        <v>1</v>
      </c>
      <c r="D53">
        <v>401</v>
      </c>
      <c r="E53" t="s">
        <v>80</v>
      </c>
      <c r="F53" t="s">
        <v>357</v>
      </c>
      <c r="K53" t="s">
        <v>78</v>
      </c>
      <c r="L53" t="s">
        <v>79</v>
      </c>
      <c r="M53">
        <v>1</v>
      </c>
      <c r="N53">
        <v>486</v>
      </c>
      <c r="O53" t="s">
        <v>80</v>
      </c>
      <c r="P53">
        <v>2</v>
      </c>
      <c r="Q53">
        <v>2.52</v>
      </c>
    </row>
    <row r="54" spans="1:17" x14ac:dyDescent="0.2">
      <c r="A54" t="s">
        <v>78</v>
      </c>
      <c r="B54" t="s">
        <v>79</v>
      </c>
      <c r="C54">
        <v>2</v>
      </c>
      <c r="D54">
        <v>320</v>
      </c>
      <c r="E54" t="s">
        <v>81</v>
      </c>
      <c r="F54" t="s">
        <v>357</v>
      </c>
      <c r="K54" t="s">
        <v>78</v>
      </c>
      <c r="L54" t="s">
        <v>79</v>
      </c>
      <c r="M54">
        <v>2</v>
      </c>
      <c r="N54">
        <v>387</v>
      </c>
      <c r="O54" t="s">
        <v>81</v>
      </c>
      <c r="P54">
        <v>3</v>
      </c>
      <c r="Q54">
        <v>2.6240000000000001</v>
      </c>
    </row>
    <row r="55" spans="1:17" x14ac:dyDescent="0.2">
      <c r="A55" t="s">
        <v>78</v>
      </c>
      <c r="B55" t="s">
        <v>79</v>
      </c>
      <c r="C55">
        <v>3</v>
      </c>
      <c r="D55">
        <v>590</v>
      </c>
      <c r="E55" t="s">
        <v>82</v>
      </c>
      <c r="F55" t="s">
        <v>357</v>
      </c>
      <c r="K55" t="s">
        <v>78</v>
      </c>
      <c r="L55" t="s">
        <v>79</v>
      </c>
      <c r="M55">
        <v>3</v>
      </c>
      <c r="N55">
        <v>601</v>
      </c>
      <c r="O55" t="s">
        <v>82</v>
      </c>
      <c r="P55">
        <v>3</v>
      </c>
      <c r="Q55">
        <v>2.5609999999999999</v>
      </c>
    </row>
    <row r="56" spans="1:17" x14ac:dyDescent="0.2">
      <c r="A56" t="s">
        <v>78</v>
      </c>
      <c r="B56" t="s">
        <v>79</v>
      </c>
      <c r="C56">
        <v>4</v>
      </c>
      <c r="D56">
        <v>139</v>
      </c>
      <c r="E56" t="s">
        <v>83</v>
      </c>
      <c r="F56" t="s">
        <v>357</v>
      </c>
      <c r="K56" t="s">
        <v>78</v>
      </c>
      <c r="L56" t="s">
        <v>79</v>
      </c>
      <c r="M56">
        <v>4</v>
      </c>
      <c r="N56">
        <v>139</v>
      </c>
      <c r="O56" t="s">
        <v>83</v>
      </c>
      <c r="P56">
        <v>3</v>
      </c>
      <c r="Q56">
        <v>2.5579999999999998</v>
      </c>
    </row>
    <row r="57" spans="1:17" x14ac:dyDescent="0.2">
      <c r="A57" t="s">
        <v>78</v>
      </c>
      <c r="B57" t="s">
        <v>79</v>
      </c>
      <c r="C57">
        <v>5</v>
      </c>
      <c r="D57">
        <v>118</v>
      </c>
      <c r="E57" t="s">
        <v>84</v>
      </c>
      <c r="F57" t="s">
        <v>357</v>
      </c>
      <c r="K57" t="s">
        <v>78</v>
      </c>
      <c r="L57" t="s">
        <v>79</v>
      </c>
      <c r="M57">
        <v>5</v>
      </c>
      <c r="N57">
        <v>118</v>
      </c>
      <c r="O57" t="s">
        <v>84</v>
      </c>
      <c r="P57">
        <v>4</v>
      </c>
      <c r="Q57">
        <v>2.5649999999999999</v>
      </c>
    </row>
    <row r="58" spans="1:17" x14ac:dyDescent="0.2">
      <c r="A58" t="s">
        <v>78</v>
      </c>
      <c r="B58" t="s">
        <v>79</v>
      </c>
      <c r="C58">
        <v>6</v>
      </c>
      <c r="D58">
        <v>186</v>
      </c>
      <c r="E58" t="s">
        <v>85</v>
      </c>
      <c r="F58" t="s">
        <v>357</v>
      </c>
      <c r="K58" t="s">
        <v>78</v>
      </c>
      <c r="L58" t="s">
        <v>79</v>
      </c>
      <c r="M58">
        <v>6</v>
      </c>
      <c r="N58">
        <v>186</v>
      </c>
      <c r="O58" t="s">
        <v>85</v>
      </c>
      <c r="P58">
        <v>4</v>
      </c>
      <c r="Q58">
        <v>2.5590000000000002</v>
      </c>
    </row>
    <row r="59" spans="1:17" x14ac:dyDescent="0.2">
      <c r="A59" t="s">
        <v>78</v>
      </c>
      <c r="B59" t="s">
        <v>79</v>
      </c>
      <c r="C59">
        <v>7</v>
      </c>
      <c r="D59">
        <v>143</v>
      </c>
      <c r="E59" t="s">
        <v>86</v>
      </c>
      <c r="F59" t="s">
        <v>357</v>
      </c>
      <c r="K59" t="s">
        <v>78</v>
      </c>
      <c r="L59" t="s">
        <v>79</v>
      </c>
      <c r="M59">
        <v>7</v>
      </c>
      <c r="N59">
        <v>143</v>
      </c>
      <c r="O59" t="s">
        <v>86</v>
      </c>
      <c r="P59">
        <v>3</v>
      </c>
      <c r="Q59">
        <v>2.6110000000000002</v>
      </c>
    </row>
    <row r="60" spans="1:17" x14ac:dyDescent="0.2">
      <c r="A60" t="s">
        <v>78</v>
      </c>
      <c r="B60" t="s">
        <v>79</v>
      </c>
      <c r="C60">
        <v>8</v>
      </c>
      <c r="D60">
        <v>427</v>
      </c>
      <c r="E60" t="s">
        <v>87</v>
      </c>
      <c r="F60" t="s">
        <v>357</v>
      </c>
      <c r="K60" t="s">
        <v>78</v>
      </c>
      <c r="L60" t="s">
        <v>79</v>
      </c>
      <c r="M60">
        <v>8</v>
      </c>
      <c r="N60">
        <v>427</v>
      </c>
      <c r="O60" t="s">
        <v>87</v>
      </c>
      <c r="P60">
        <v>4</v>
      </c>
      <c r="Q60">
        <v>2.6070000000000002</v>
      </c>
    </row>
    <row r="61" spans="1:17" x14ac:dyDescent="0.2">
      <c r="A61" t="s">
        <v>78</v>
      </c>
      <c r="B61" t="s">
        <v>79</v>
      </c>
      <c r="C61">
        <v>9</v>
      </c>
      <c r="D61">
        <v>288</v>
      </c>
      <c r="E61" t="s">
        <v>88</v>
      </c>
      <c r="F61" t="s">
        <v>357</v>
      </c>
      <c r="K61" t="s">
        <v>78</v>
      </c>
      <c r="L61" t="s">
        <v>79</v>
      </c>
      <c r="M61">
        <v>9</v>
      </c>
      <c r="N61">
        <v>288</v>
      </c>
      <c r="O61" t="s">
        <v>88</v>
      </c>
      <c r="P61">
        <v>3</v>
      </c>
      <c r="Q61">
        <v>2.6579999999999999</v>
      </c>
    </row>
    <row r="62" spans="1:17" x14ac:dyDescent="0.2">
      <c r="A62" t="s">
        <v>78</v>
      </c>
      <c r="B62" t="s">
        <v>79</v>
      </c>
      <c r="C62">
        <v>10</v>
      </c>
      <c r="D62">
        <v>157</v>
      </c>
      <c r="E62" t="s">
        <v>89</v>
      </c>
      <c r="F62" t="s">
        <v>357</v>
      </c>
      <c r="K62" t="s">
        <v>78</v>
      </c>
      <c r="L62" t="s">
        <v>79</v>
      </c>
      <c r="M62">
        <v>10</v>
      </c>
      <c r="N62">
        <v>157</v>
      </c>
      <c r="O62" t="s">
        <v>89</v>
      </c>
      <c r="P62">
        <v>4</v>
      </c>
      <c r="Q62">
        <v>2.3889999999999998</v>
      </c>
    </row>
    <row r="63" spans="1:17" x14ac:dyDescent="0.2">
      <c r="A63" t="s">
        <v>78</v>
      </c>
      <c r="B63" t="s">
        <v>79</v>
      </c>
      <c r="C63">
        <v>11</v>
      </c>
      <c r="D63">
        <v>494</v>
      </c>
      <c r="E63" t="s">
        <v>90</v>
      </c>
      <c r="F63" t="s">
        <v>357</v>
      </c>
      <c r="K63" t="s">
        <v>78</v>
      </c>
      <c r="L63" t="s">
        <v>79</v>
      </c>
      <c r="M63">
        <v>11</v>
      </c>
      <c r="N63">
        <v>494</v>
      </c>
      <c r="O63" t="s">
        <v>90</v>
      </c>
      <c r="P63">
        <v>4</v>
      </c>
      <c r="Q63">
        <v>2.3580000000000001</v>
      </c>
    </row>
    <row r="64" spans="1:17" x14ac:dyDescent="0.2">
      <c r="A64" t="s">
        <v>78</v>
      </c>
      <c r="B64" t="s">
        <v>79</v>
      </c>
      <c r="C64">
        <v>12</v>
      </c>
      <c r="D64">
        <v>718</v>
      </c>
      <c r="E64" t="s">
        <v>91</v>
      </c>
      <c r="F64" t="s">
        <v>357</v>
      </c>
      <c r="K64" t="s">
        <v>78</v>
      </c>
      <c r="L64" t="s">
        <v>79</v>
      </c>
      <c r="M64">
        <v>12</v>
      </c>
      <c r="N64">
        <v>718</v>
      </c>
      <c r="O64" t="s">
        <v>91</v>
      </c>
      <c r="P64">
        <v>3</v>
      </c>
      <c r="Q64">
        <v>2.5470000000000002</v>
      </c>
    </row>
    <row r="65" spans="1:17" x14ac:dyDescent="0.2">
      <c r="A65" t="s">
        <v>78</v>
      </c>
      <c r="B65" t="s">
        <v>79</v>
      </c>
      <c r="C65">
        <v>13</v>
      </c>
      <c r="D65">
        <v>142</v>
      </c>
      <c r="E65" t="s">
        <v>92</v>
      </c>
      <c r="F65" t="s">
        <v>357</v>
      </c>
      <c r="K65" t="s">
        <v>78</v>
      </c>
      <c r="L65" t="s">
        <v>79</v>
      </c>
      <c r="M65">
        <v>13</v>
      </c>
      <c r="N65">
        <v>142</v>
      </c>
      <c r="O65" t="s">
        <v>92</v>
      </c>
      <c r="P65">
        <v>5</v>
      </c>
      <c r="Q65">
        <v>2.3319999999999999</v>
      </c>
    </row>
    <row r="66" spans="1:17" x14ac:dyDescent="0.2">
      <c r="A66" t="s">
        <v>78</v>
      </c>
      <c r="B66" t="s">
        <v>79</v>
      </c>
      <c r="C66">
        <v>14</v>
      </c>
      <c r="D66">
        <v>59</v>
      </c>
      <c r="E66" t="s">
        <v>93</v>
      </c>
      <c r="F66" t="s">
        <v>357</v>
      </c>
      <c r="K66" t="s">
        <v>78</v>
      </c>
      <c r="L66" t="s">
        <v>79</v>
      </c>
      <c r="M66">
        <v>14</v>
      </c>
      <c r="N66">
        <v>59</v>
      </c>
      <c r="O66" t="s">
        <v>93</v>
      </c>
      <c r="P66">
        <v>4</v>
      </c>
      <c r="Q66">
        <v>2.62</v>
      </c>
    </row>
    <row r="67" spans="1:17" x14ac:dyDescent="0.2">
      <c r="A67" t="s">
        <v>78</v>
      </c>
      <c r="B67" t="s">
        <v>79</v>
      </c>
      <c r="C67">
        <v>15</v>
      </c>
      <c r="D67">
        <v>267</v>
      </c>
      <c r="E67" t="s">
        <v>94</v>
      </c>
      <c r="F67" t="s">
        <v>357</v>
      </c>
      <c r="K67" t="s">
        <v>78</v>
      </c>
      <c r="L67" t="s">
        <v>79</v>
      </c>
      <c r="M67">
        <v>15</v>
      </c>
      <c r="N67">
        <v>267</v>
      </c>
      <c r="O67" t="s">
        <v>94</v>
      </c>
      <c r="P67">
        <v>6</v>
      </c>
      <c r="Q67">
        <v>2.641</v>
      </c>
    </row>
    <row r="68" spans="1:17" x14ac:dyDescent="0.2">
      <c r="A68" t="s">
        <v>78</v>
      </c>
      <c r="B68" t="s">
        <v>79</v>
      </c>
      <c r="C68">
        <v>16</v>
      </c>
      <c r="D68">
        <v>358</v>
      </c>
      <c r="E68" t="s">
        <v>95</v>
      </c>
      <c r="F68" t="s">
        <v>357</v>
      </c>
      <c r="K68" t="s">
        <v>78</v>
      </c>
      <c r="L68" t="s">
        <v>79</v>
      </c>
      <c r="M68">
        <v>16</v>
      </c>
      <c r="N68">
        <v>358</v>
      </c>
      <c r="O68" t="s">
        <v>95</v>
      </c>
      <c r="P68">
        <v>3</v>
      </c>
      <c r="Q68" t="s">
        <v>21</v>
      </c>
    </row>
    <row r="69" spans="1:17" x14ac:dyDescent="0.2">
      <c r="A69" t="s">
        <v>78</v>
      </c>
      <c r="B69" t="s">
        <v>79</v>
      </c>
      <c r="C69">
        <v>17</v>
      </c>
      <c r="D69">
        <v>183</v>
      </c>
      <c r="E69" t="s">
        <v>96</v>
      </c>
      <c r="F69" t="s">
        <v>357</v>
      </c>
      <c r="K69" t="s">
        <v>78</v>
      </c>
      <c r="L69" t="s">
        <v>79</v>
      </c>
      <c r="M69">
        <v>17</v>
      </c>
      <c r="N69">
        <v>183</v>
      </c>
      <c r="O69" t="s">
        <v>96</v>
      </c>
      <c r="P69">
        <v>2</v>
      </c>
      <c r="Q69" t="s">
        <v>21</v>
      </c>
    </row>
    <row r="70" spans="1:17" x14ac:dyDescent="0.2">
      <c r="A70" t="s">
        <v>78</v>
      </c>
      <c r="B70" t="s">
        <v>97</v>
      </c>
      <c r="C70">
        <v>1</v>
      </c>
      <c r="D70">
        <v>259</v>
      </c>
      <c r="E70" t="s">
        <v>98</v>
      </c>
      <c r="F70" t="s">
        <v>357</v>
      </c>
      <c r="K70" t="s">
        <v>78</v>
      </c>
      <c r="L70" t="s">
        <v>97</v>
      </c>
      <c r="M70">
        <v>1</v>
      </c>
      <c r="N70">
        <v>259</v>
      </c>
      <c r="O70" t="s">
        <v>98</v>
      </c>
      <c r="P70">
        <v>2</v>
      </c>
      <c r="Q70">
        <v>2.4820000000000002</v>
      </c>
    </row>
    <row r="71" spans="1:17" x14ac:dyDescent="0.2">
      <c r="A71" t="s">
        <v>78</v>
      </c>
      <c r="B71" t="s">
        <v>97</v>
      </c>
      <c r="C71">
        <v>2</v>
      </c>
      <c r="D71">
        <v>202</v>
      </c>
      <c r="E71" t="s">
        <v>99</v>
      </c>
      <c r="F71" t="s">
        <v>357</v>
      </c>
      <c r="K71" t="s">
        <v>78</v>
      </c>
      <c r="L71" t="s">
        <v>97</v>
      </c>
      <c r="M71">
        <v>2</v>
      </c>
      <c r="N71">
        <v>202</v>
      </c>
      <c r="O71" t="s">
        <v>99</v>
      </c>
      <c r="P71">
        <v>2</v>
      </c>
      <c r="Q71">
        <v>2.4820000000000002</v>
      </c>
    </row>
    <row r="72" spans="1:17" x14ac:dyDescent="0.2">
      <c r="A72" t="s">
        <v>78</v>
      </c>
      <c r="B72" t="s">
        <v>97</v>
      </c>
      <c r="C72">
        <v>3</v>
      </c>
      <c r="D72">
        <v>139</v>
      </c>
      <c r="E72" t="s">
        <v>100</v>
      </c>
      <c r="F72" t="s">
        <v>357</v>
      </c>
      <c r="K72" t="s">
        <v>78</v>
      </c>
      <c r="L72" t="s">
        <v>97</v>
      </c>
      <c r="M72">
        <v>3</v>
      </c>
      <c r="N72">
        <v>139</v>
      </c>
      <c r="O72" t="s">
        <v>100</v>
      </c>
      <c r="P72">
        <v>4</v>
      </c>
      <c r="Q72">
        <v>2.5680000000000001</v>
      </c>
    </row>
    <row r="73" spans="1:17" x14ac:dyDescent="0.2">
      <c r="A73" t="s">
        <v>78</v>
      </c>
      <c r="B73" t="s">
        <v>97</v>
      </c>
      <c r="C73">
        <v>4</v>
      </c>
      <c r="D73">
        <v>268</v>
      </c>
      <c r="E73" t="s">
        <v>101</v>
      </c>
      <c r="F73" t="s">
        <v>357</v>
      </c>
      <c r="K73" t="s">
        <v>78</v>
      </c>
      <c r="L73" t="s">
        <v>97</v>
      </c>
      <c r="M73">
        <v>4</v>
      </c>
      <c r="N73">
        <v>268</v>
      </c>
      <c r="O73" t="s">
        <v>101</v>
      </c>
      <c r="P73">
        <v>3</v>
      </c>
      <c r="Q73">
        <v>2.5329999999999999</v>
      </c>
    </row>
    <row r="74" spans="1:17" x14ac:dyDescent="0.2">
      <c r="A74" t="s">
        <v>78</v>
      </c>
      <c r="B74" t="s">
        <v>97</v>
      </c>
      <c r="C74">
        <v>5</v>
      </c>
      <c r="D74">
        <v>126</v>
      </c>
      <c r="E74" t="s">
        <v>102</v>
      </c>
      <c r="F74" t="s">
        <v>357</v>
      </c>
      <c r="K74" t="s">
        <v>78</v>
      </c>
      <c r="L74" t="s">
        <v>97</v>
      </c>
      <c r="M74">
        <v>5</v>
      </c>
      <c r="N74">
        <v>126</v>
      </c>
      <c r="O74" t="s">
        <v>102</v>
      </c>
      <c r="P74">
        <v>3</v>
      </c>
      <c r="Q74">
        <v>2.3149999999999999</v>
      </c>
    </row>
    <row r="75" spans="1:17" x14ac:dyDescent="0.2">
      <c r="A75" t="s">
        <v>78</v>
      </c>
      <c r="B75" t="s">
        <v>97</v>
      </c>
      <c r="C75">
        <v>6</v>
      </c>
      <c r="D75">
        <v>122</v>
      </c>
      <c r="E75" t="s">
        <v>103</v>
      </c>
      <c r="F75" t="s">
        <v>357</v>
      </c>
      <c r="K75" t="s">
        <v>78</v>
      </c>
      <c r="L75" t="s">
        <v>97</v>
      </c>
      <c r="M75">
        <v>6</v>
      </c>
      <c r="N75">
        <v>122</v>
      </c>
      <c r="O75" t="s">
        <v>103</v>
      </c>
      <c r="P75">
        <v>3</v>
      </c>
      <c r="Q75">
        <v>2.532</v>
      </c>
    </row>
    <row r="76" spans="1:17" x14ac:dyDescent="0.2">
      <c r="A76" t="s">
        <v>78</v>
      </c>
      <c r="B76" t="s">
        <v>97</v>
      </c>
      <c r="C76">
        <v>7</v>
      </c>
      <c r="D76">
        <v>137</v>
      </c>
      <c r="E76" t="s">
        <v>104</v>
      </c>
      <c r="F76" t="s">
        <v>357</v>
      </c>
      <c r="K76" t="s">
        <v>78</v>
      </c>
      <c r="L76" t="s">
        <v>97</v>
      </c>
      <c r="M76">
        <v>7</v>
      </c>
      <c r="N76">
        <v>137</v>
      </c>
      <c r="O76" t="s">
        <v>104</v>
      </c>
      <c r="P76">
        <v>4</v>
      </c>
      <c r="Q76">
        <v>2.5449999999999999</v>
      </c>
    </row>
    <row r="77" spans="1:17" x14ac:dyDescent="0.2">
      <c r="A77" t="s">
        <v>78</v>
      </c>
      <c r="B77" t="s">
        <v>97</v>
      </c>
      <c r="C77">
        <v>8</v>
      </c>
      <c r="D77">
        <v>201</v>
      </c>
      <c r="E77" t="s">
        <v>105</v>
      </c>
      <c r="F77" t="s">
        <v>357</v>
      </c>
      <c r="K77" t="s">
        <v>78</v>
      </c>
      <c r="L77" t="s">
        <v>97</v>
      </c>
      <c r="M77">
        <v>8</v>
      </c>
      <c r="N77">
        <v>201</v>
      </c>
      <c r="O77" t="s">
        <v>105</v>
      </c>
      <c r="P77">
        <v>5</v>
      </c>
      <c r="Q77">
        <v>2.54</v>
      </c>
    </row>
    <row r="78" spans="1:17" x14ac:dyDescent="0.2">
      <c r="A78" t="s">
        <v>78</v>
      </c>
      <c r="B78" t="s">
        <v>97</v>
      </c>
      <c r="C78">
        <v>9</v>
      </c>
      <c r="D78">
        <v>194</v>
      </c>
      <c r="E78" t="s">
        <v>106</v>
      </c>
      <c r="F78" t="s">
        <v>357</v>
      </c>
      <c r="K78" t="s">
        <v>78</v>
      </c>
      <c r="L78" t="s">
        <v>97</v>
      </c>
      <c r="M78">
        <v>9</v>
      </c>
      <c r="N78">
        <v>194</v>
      </c>
      <c r="O78" t="s">
        <v>106</v>
      </c>
      <c r="P78">
        <v>3</v>
      </c>
      <c r="Q78">
        <v>2.516</v>
      </c>
    </row>
    <row r="79" spans="1:17" x14ac:dyDescent="0.2">
      <c r="A79" t="s">
        <v>78</v>
      </c>
      <c r="B79" t="s">
        <v>97</v>
      </c>
      <c r="C79">
        <v>10</v>
      </c>
      <c r="D79">
        <v>537</v>
      </c>
      <c r="E79" t="s">
        <v>107</v>
      </c>
      <c r="F79" t="s">
        <v>357</v>
      </c>
      <c r="K79" t="s">
        <v>78</v>
      </c>
      <c r="L79" t="s">
        <v>97</v>
      </c>
      <c r="M79">
        <v>10</v>
      </c>
      <c r="N79">
        <v>537</v>
      </c>
      <c r="O79" t="s">
        <v>107</v>
      </c>
      <c r="P79">
        <v>3</v>
      </c>
      <c r="Q79">
        <v>2.577</v>
      </c>
    </row>
    <row r="80" spans="1:17" x14ac:dyDescent="0.2">
      <c r="A80" t="s">
        <v>78</v>
      </c>
      <c r="B80" t="s">
        <v>97</v>
      </c>
      <c r="C80">
        <v>11</v>
      </c>
      <c r="D80">
        <v>341</v>
      </c>
      <c r="E80" t="s">
        <v>108</v>
      </c>
      <c r="F80" t="s">
        <v>357</v>
      </c>
      <c r="K80" t="s">
        <v>78</v>
      </c>
      <c r="L80" t="s">
        <v>97</v>
      </c>
      <c r="M80">
        <v>11</v>
      </c>
      <c r="N80">
        <v>341</v>
      </c>
      <c r="O80" t="s">
        <v>108</v>
      </c>
      <c r="P80">
        <v>5</v>
      </c>
      <c r="Q80">
        <v>2.65</v>
      </c>
    </row>
    <row r="81" spans="1:17" x14ac:dyDescent="0.2">
      <c r="A81" t="s">
        <v>78</v>
      </c>
      <c r="B81" t="s">
        <v>97</v>
      </c>
      <c r="C81">
        <v>12</v>
      </c>
      <c r="D81">
        <v>288</v>
      </c>
      <c r="E81" t="s">
        <v>109</v>
      </c>
      <c r="F81" t="s">
        <v>357</v>
      </c>
      <c r="K81" t="s">
        <v>78</v>
      </c>
      <c r="L81" t="s">
        <v>97</v>
      </c>
      <c r="M81">
        <v>12</v>
      </c>
      <c r="N81">
        <v>288</v>
      </c>
      <c r="O81" t="s">
        <v>109</v>
      </c>
      <c r="P81">
        <v>3</v>
      </c>
      <c r="Q81">
        <v>2.5030000000000001</v>
      </c>
    </row>
    <row r="82" spans="1:17" x14ac:dyDescent="0.2">
      <c r="A82" t="s">
        <v>78</v>
      </c>
      <c r="B82" t="s">
        <v>97</v>
      </c>
      <c r="C82">
        <v>13</v>
      </c>
      <c r="D82">
        <v>177</v>
      </c>
      <c r="E82" t="s">
        <v>110</v>
      </c>
      <c r="F82" t="s">
        <v>357</v>
      </c>
      <c r="K82" t="s">
        <v>78</v>
      </c>
      <c r="L82" t="s">
        <v>97</v>
      </c>
      <c r="M82">
        <v>13</v>
      </c>
      <c r="N82">
        <v>177</v>
      </c>
      <c r="O82" t="s">
        <v>110</v>
      </c>
      <c r="P82">
        <v>3</v>
      </c>
      <c r="Q82">
        <v>2.5819999999999999</v>
      </c>
    </row>
    <row r="83" spans="1:17" x14ac:dyDescent="0.2">
      <c r="A83" t="s">
        <v>78</v>
      </c>
      <c r="B83" t="s">
        <v>97</v>
      </c>
      <c r="C83">
        <v>14</v>
      </c>
      <c r="D83">
        <v>141</v>
      </c>
      <c r="E83" t="s">
        <v>111</v>
      </c>
      <c r="F83" t="s">
        <v>357</v>
      </c>
      <c r="K83" t="s">
        <v>78</v>
      </c>
      <c r="L83" t="s">
        <v>97</v>
      </c>
      <c r="M83">
        <v>14</v>
      </c>
      <c r="N83">
        <v>141</v>
      </c>
      <c r="O83" t="s">
        <v>111</v>
      </c>
      <c r="P83">
        <v>4</v>
      </c>
      <c r="Q83">
        <v>2.512</v>
      </c>
    </row>
    <row r="84" spans="1:17" x14ac:dyDescent="0.2">
      <c r="A84" t="s">
        <v>78</v>
      </c>
      <c r="B84" t="s">
        <v>97</v>
      </c>
      <c r="C84">
        <v>15</v>
      </c>
      <c r="D84">
        <v>212</v>
      </c>
      <c r="E84" t="s">
        <v>112</v>
      </c>
      <c r="F84" t="s">
        <v>357</v>
      </c>
      <c r="K84" t="s">
        <v>78</v>
      </c>
      <c r="L84" t="s">
        <v>97</v>
      </c>
      <c r="M84">
        <v>15</v>
      </c>
      <c r="N84">
        <v>212</v>
      </c>
      <c r="O84" t="s">
        <v>112</v>
      </c>
      <c r="P84">
        <v>3</v>
      </c>
      <c r="Q84">
        <v>2.4329999999999998</v>
      </c>
    </row>
    <row r="85" spans="1:17" x14ac:dyDescent="0.2">
      <c r="A85" t="s">
        <v>78</v>
      </c>
      <c r="B85" t="s">
        <v>97</v>
      </c>
      <c r="C85">
        <v>16</v>
      </c>
      <c r="D85">
        <v>300</v>
      </c>
      <c r="E85" t="s">
        <v>113</v>
      </c>
      <c r="F85" t="s">
        <v>357</v>
      </c>
      <c r="K85" t="s">
        <v>78</v>
      </c>
      <c r="L85" t="s">
        <v>97</v>
      </c>
      <c r="M85">
        <v>16</v>
      </c>
      <c r="N85">
        <v>300</v>
      </c>
      <c r="O85" t="s">
        <v>113</v>
      </c>
      <c r="P85">
        <v>5</v>
      </c>
      <c r="Q85" t="s">
        <v>21</v>
      </c>
    </row>
    <row r="86" spans="1:17" x14ac:dyDescent="0.2">
      <c r="A86" t="s">
        <v>78</v>
      </c>
      <c r="B86" t="s">
        <v>97</v>
      </c>
      <c r="C86">
        <v>17</v>
      </c>
      <c r="D86">
        <v>668</v>
      </c>
      <c r="E86" t="s">
        <v>114</v>
      </c>
      <c r="F86" t="s">
        <v>357</v>
      </c>
      <c r="K86" t="s">
        <v>78</v>
      </c>
      <c r="L86" t="s">
        <v>97</v>
      </c>
      <c r="M86">
        <v>17</v>
      </c>
      <c r="N86">
        <v>668</v>
      </c>
      <c r="O86" t="s">
        <v>114</v>
      </c>
      <c r="P86">
        <v>3</v>
      </c>
      <c r="Q86" t="s">
        <v>21</v>
      </c>
    </row>
    <row r="87" spans="1:17" x14ac:dyDescent="0.2">
      <c r="A87" t="s">
        <v>78</v>
      </c>
      <c r="B87" t="s">
        <v>115</v>
      </c>
      <c r="C87">
        <v>1</v>
      </c>
      <c r="D87">
        <v>152</v>
      </c>
      <c r="E87" t="s">
        <v>9</v>
      </c>
      <c r="F87" t="s">
        <v>357</v>
      </c>
      <c r="K87" t="s">
        <v>78</v>
      </c>
      <c r="L87" t="s">
        <v>115</v>
      </c>
      <c r="M87">
        <v>1</v>
      </c>
      <c r="N87">
        <v>152</v>
      </c>
      <c r="O87" t="s">
        <v>9</v>
      </c>
      <c r="P87">
        <v>3</v>
      </c>
      <c r="Q87">
        <v>2.6030000000000002</v>
      </c>
    </row>
    <row r="88" spans="1:17" x14ac:dyDescent="0.2">
      <c r="A88" t="s">
        <v>78</v>
      </c>
      <c r="B88" t="s">
        <v>115</v>
      </c>
      <c r="C88">
        <v>2</v>
      </c>
      <c r="D88">
        <v>76</v>
      </c>
      <c r="E88" t="s">
        <v>10</v>
      </c>
      <c r="F88" t="s">
        <v>357</v>
      </c>
      <c r="K88" t="s">
        <v>78</v>
      </c>
      <c r="L88" t="s">
        <v>115</v>
      </c>
      <c r="M88">
        <v>2</v>
      </c>
      <c r="N88">
        <v>76</v>
      </c>
      <c r="O88" t="s">
        <v>10</v>
      </c>
      <c r="P88">
        <v>4</v>
      </c>
      <c r="Q88">
        <v>2.5390000000000001</v>
      </c>
    </row>
    <row r="89" spans="1:17" x14ac:dyDescent="0.2">
      <c r="A89" t="s">
        <v>78</v>
      </c>
      <c r="B89" t="s">
        <v>115</v>
      </c>
      <c r="C89">
        <v>3</v>
      </c>
      <c r="D89">
        <v>160</v>
      </c>
      <c r="E89" t="s">
        <v>11</v>
      </c>
      <c r="F89" t="s">
        <v>357</v>
      </c>
      <c r="K89" t="s">
        <v>78</v>
      </c>
      <c r="L89" t="s">
        <v>115</v>
      </c>
      <c r="M89">
        <v>3</v>
      </c>
      <c r="N89">
        <v>170</v>
      </c>
      <c r="O89" t="s">
        <v>11</v>
      </c>
      <c r="P89">
        <v>3</v>
      </c>
      <c r="Q89">
        <v>2.4929999999999999</v>
      </c>
    </row>
    <row r="90" spans="1:17" x14ac:dyDescent="0.2">
      <c r="A90" t="s">
        <v>78</v>
      </c>
      <c r="B90" t="s">
        <v>115</v>
      </c>
      <c r="C90">
        <v>4</v>
      </c>
      <c r="D90">
        <v>71</v>
      </c>
      <c r="E90" t="s">
        <v>116</v>
      </c>
      <c r="F90" t="s">
        <v>357</v>
      </c>
      <c r="K90" t="s">
        <v>78</v>
      </c>
      <c r="L90" t="s">
        <v>115</v>
      </c>
      <c r="M90">
        <v>4</v>
      </c>
      <c r="N90">
        <v>71</v>
      </c>
      <c r="O90" t="s">
        <v>116</v>
      </c>
      <c r="P90">
        <v>6</v>
      </c>
      <c r="Q90">
        <v>2.4729999999999999</v>
      </c>
    </row>
    <row r="91" spans="1:17" x14ac:dyDescent="0.2">
      <c r="A91" t="s">
        <v>78</v>
      </c>
      <c r="B91" t="s">
        <v>115</v>
      </c>
      <c r="C91">
        <v>5</v>
      </c>
      <c r="D91">
        <v>189</v>
      </c>
      <c r="E91" t="s">
        <v>117</v>
      </c>
      <c r="F91" t="s">
        <v>357</v>
      </c>
      <c r="K91" t="s">
        <v>78</v>
      </c>
      <c r="L91" t="s">
        <v>115</v>
      </c>
      <c r="M91">
        <v>5</v>
      </c>
      <c r="N91">
        <v>259</v>
      </c>
      <c r="O91" t="s">
        <v>117</v>
      </c>
      <c r="P91">
        <v>4</v>
      </c>
      <c r="Q91">
        <v>2.536</v>
      </c>
    </row>
    <row r="92" spans="1:17" x14ac:dyDescent="0.2">
      <c r="A92" t="s">
        <v>78</v>
      </c>
      <c r="B92" t="s">
        <v>115</v>
      </c>
      <c r="C92">
        <v>6</v>
      </c>
      <c r="D92">
        <v>248</v>
      </c>
      <c r="E92" t="s">
        <v>118</v>
      </c>
      <c r="F92" t="s">
        <v>357</v>
      </c>
      <c r="K92" t="s">
        <v>78</v>
      </c>
      <c r="L92" t="s">
        <v>115</v>
      </c>
      <c r="M92">
        <v>6</v>
      </c>
      <c r="N92">
        <v>296</v>
      </c>
      <c r="O92" t="s">
        <v>118</v>
      </c>
      <c r="P92">
        <v>5</v>
      </c>
      <c r="Q92">
        <v>2.5550000000000002</v>
      </c>
    </row>
    <row r="93" spans="1:17" x14ac:dyDescent="0.2">
      <c r="A93" t="s">
        <v>78</v>
      </c>
      <c r="B93" t="s">
        <v>115</v>
      </c>
      <c r="C93">
        <v>7</v>
      </c>
      <c r="D93">
        <v>80</v>
      </c>
      <c r="E93" t="s">
        <v>119</v>
      </c>
      <c r="F93" t="s">
        <v>357</v>
      </c>
      <c r="K93" t="s">
        <v>78</v>
      </c>
      <c r="L93" t="s">
        <v>115</v>
      </c>
      <c r="M93">
        <v>7</v>
      </c>
      <c r="N93">
        <v>80</v>
      </c>
      <c r="O93" t="s">
        <v>119</v>
      </c>
      <c r="P93">
        <v>4</v>
      </c>
      <c r="Q93">
        <v>2.5459999999999998</v>
      </c>
    </row>
    <row r="94" spans="1:17" x14ac:dyDescent="0.2">
      <c r="A94" t="s">
        <v>78</v>
      </c>
      <c r="B94" t="s">
        <v>115</v>
      </c>
      <c r="C94">
        <v>8</v>
      </c>
      <c r="D94">
        <v>119</v>
      </c>
      <c r="E94" t="s">
        <v>120</v>
      </c>
      <c r="F94" t="s">
        <v>357</v>
      </c>
      <c r="K94" t="s">
        <v>78</v>
      </c>
      <c r="L94" t="s">
        <v>115</v>
      </c>
      <c r="M94">
        <v>8</v>
      </c>
      <c r="N94">
        <v>119</v>
      </c>
      <c r="O94" t="s">
        <v>120</v>
      </c>
      <c r="P94">
        <v>4</v>
      </c>
      <c r="Q94">
        <v>2.556</v>
      </c>
    </row>
    <row r="95" spans="1:17" x14ac:dyDescent="0.2">
      <c r="A95" t="s">
        <v>78</v>
      </c>
      <c r="B95" t="s">
        <v>115</v>
      </c>
      <c r="C95">
        <v>9</v>
      </c>
      <c r="D95">
        <v>26</v>
      </c>
      <c r="E95" t="s">
        <v>121</v>
      </c>
      <c r="F95" t="s">
        <v>357</v>
      </c>
      <c r="K95" t="s">
        <v>78</v>
      </c>
      <c r="L95" t="s">
        <v>115</v>
      </c>
      <c r="M95">
        <v>9</v>
      </c>
      <c r="N95">
        <v>26</v>
      </c>
      <c r="O95" t="s">
        <v>121</v>
      </c>
      <c r="P95">
        <v>4</v>
      </c>
      <c r="Q95">
        <v>2.621</v>
      </c>
    </row>
    <row r="96" spans="1:17" x14ac:dyDescent="0.2">
      <c r="A96" t="s">
        <v>78</v>
      </c>
      <c r="B96" t="s">
        <v>115</v>
      </c>
      <c r="C96">
        <v>10</v>
      </c>
      <c r="D96">
        <v>89</v>
      </c>
      <c r="E96" t="s">
        <v>122</v>
      </c>
      <c r="F96" t="s">
        <v>357</v>
      </c>
      <c r="K96" t="s">
        <v>78</v>
      </c>
      <c r="L96" t="s">
        <v>115</v>
      </c>
      <c r="M96">
        <v>10</v>
      </c>
      <c r="N96">
        <v>130</v>
      </c>
      <c r="O96" t="s">
        <v>122</v>
      </c>
      <c r="P96">
        <v>3</v>
      </c>
      <c r="Q96">
        <v>2.6219999999999999</v>
      </c>
    </row>
    <row r="97" spans="1:17" x14ac:dyDescent="0.2">
      <c r="A97" t="s">
        <v>78</v>
      </c>
      <c r="B97" t="s">
        <v>115</v>
      </c>
      <c r="C97">
        <v>11</v>
      </c>
      <c r="D97">
        <v>110</v>
      </c>
      <c r="E97" t="s">
        <v>123</v>
      </c>
      <c r="F97" t="s">
        <v>357</v>
      </c>
      <c r="K97" t="s">
        <v>78</v>
      </c>
      <c r="L97" t="s">
        <v>115</v>
      </c>
      <c r="M97">
        <v>11</v>
      </c>
      <c r="N97">
        <v>110</v>
      </c>
      <c r="O97" t="s">
        <v>123</v>
      </c>
      <c r="P97">
        <v>4</v>
      </c>
      <c r="Q97">
        <v>2.488</v>
      </c>
    </row>
    <row r="98" spans="1:17" x14ac:dyDescent="0.2">
      <c r="A98" t="s">
        <v>78</v>
      </c>
      <c r="B98" t="s">
        <v>115</v>
      </c>
      <c r="C98">
        <v>12</v>
      </c>
      <c r="D98">
        <v>519</v>
      </c>
      <c r="E98" t="s">
        <v>124</v>
      </c>
      <c r="F98" t="s">
        <v>357</v>
      </c>
      <c r="K98" t="s">
        <v>78</v>
      </c>
      <c r="L98" t="s">
        <v>115</v>
      </c>
      <c r="M98">
        <v>12</v>
      </c>
      <c r="N98">
        <v>623</v>
      </c>
      <c r="O98" t="s">
        <v>124</v>
      </c>
      <c r="P98">
        <v>3</v>
      </c>
      <c r="Q98">
        <v>2.4790000000000001</v>
      </c>
    </row>
    <row r="99" spans="1:17" x14ac:dyDescent="0.2">
      <c r="A99" t="s">
        <v>78</v>
      </c>
      <c r="B99" t="s">
        <v>115</v>
      </c>
      <c r="C99">
        <v>13</v>
      </c>
      <c r="D99">
        <v>129</v>
      </c>
      <c r="E99" t="s">
        <v>125</v>
      </c>
      <c r="F99" t="s">
        <v>357</v>
      </c>
      <c r="K99" t="s">
        <v>78</v>
      </c>
      <c r="L99" t="s">
        <v>115</v>
      </c>
      <c r="M99">
        <v>13</v>
      </c>
      <c r="N99">
        <v>193</v>
      </c>
      <c r="O99" t="s">
        <v>125</v>
      </c>
      <c r="P99">
        <v>5</v>
      </c>
      <c r="Q99">
        <v>2.5819999999999999</v>
      </c>
    </row>
    <row r="100" spans="1:17" x14ac:dyDescent="0.2">
      <c r="A100" t="s">
        <v>78</v>
      </c>
      <c r="B100" t="s">
        <v>115</v>
      </c>
      <c r="C100">
        <v>14</v>
      </c>
      <c r="D100">
        <v>305</v>
      </c>
      <c r="E100" t="s">
        <v>126</v>
      </c>
      <c r="F100" t="s">
        <v>357</v>
      </c>
      <c r="K100" t="s">
        <v>78</v>
      </c>
      <c r="L100" t="s">
        <v>115</v>
      </c>
      <c r="M100">
        <v>14</v>
      </c>
      <c r="N100">
        <v>361</v>
      </c>
      <c r="O100" t="s">
        <v>126</v>
      </c>
      <c r="P100">
        <v>5</v>
      </c>
      <c r="Q100">
        <v>2.5150000000000001</v>
      </c>
    </row>
    <row r="101" spans="1:17" x14ac:dyDescent="0.2">
      <c r="A101" t="s">
        <v>78</v>
      </c>
      <c r="B101" t="s">
        <v>115</v>
      </c>
      <c r="C101">
        <v>15</v>
      </c>
      <c r="D101">
        <v>295</v>
      </c>
      <c r="E101" t="s">
        <v>127</v>
      </c>
      <c r="F101" t="s">
        <v>357</v>
      </c>
      <c r="K101" t="s">
        <v>78</v>
      </c>
      <c r="L101" t="s">
        <v>115</v>
      </c>
      <c r="M101">
        <v>15</v>
      </c>
      <c r="N101">
        <v>301</v>
      </c>
      <c r="O101" t="s">
        <v>127</v>
      </c>
      <c r="P101">
        <v>6</v>
      </c>
      <c r="Q101">
        <v>2.6190000000000002</v>
      </c>
    </row>
    <row r="102" spans="1:17" x14ac:dyDescent="0.2">
      <c r="A102" t="s">
        <v>78</v>
      </c>
      <c r="B102" t="s">
        <v>115</v>
      </c>
      <c r="C102">
        <v>16</v>
      </c>
      <c r="D102">
        <v>144</v>
      </c>
      <c r="E102" t="s">
        <v>128</v>
      </c>
      <c r="F102" t="s">
        <v>357</v>
      </c>
      <c r="K102" t="s">
        <v>78</v>
      </c>
      <c r="L102" t="s">
        <v>115</v>
      </c>
      <c r="M102">
        <v>16</v>
      </c>
      <c r="N102">
        <v>202</v>
      </c>
      <c r="O102" t="s">
        <v>128</v>
      </c>
      <c r="P102">
        <v>5</v>
      </c>
      <c r="Q102" t="s">
        <v>21</v>
      </c>
    </row>
    <row r="103" spans="1:17" x14ac:dyDescent="0.2">
      <c r="A103" t="s">
        <v>78</v>
      </c>
      <c r="B103" t="s">
        <v>115</v>
      </c>
      <c r="C103">
        <v>17</v>
      </c>
      <c r="D103">
        <v>238</v>
      </c>
      <c r="E103" t="s">
        <v>129</v>
      </c>
      <c r="F103" t="s">
        <v>357</v>
      </c>
      <c r="K103" t="s">
        <v>78</v>
      </c>
      <c r="L103" t="s">
        <v>115</v>
      </c>
      <c r="M103">
        <v>17</v>
      </c>
      <c r="N103">
        <v>238</v>
      </c>
      <c r="O103" t="s">
        <v>129</v>
      </c>
      <c r="P103">
        <v>4</v>
      </c>
      <c r="Q103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4AC3-F103-E945-B5EB-7BBF0C563BBF}">
  <dimension ref="A1:Z101"/>
  <sheetViews>
    <sheetView workbookViewId="0">
      <selection activeCell="C12" sqref="C12"/>
    </sheetView>
  </sheetViews>
  <sheetFormatPr baseColWidth="10" defaultRowHeight="16" x14ac:dyDescent="0.2"/>
  <cols>
    <col min="1" max="1" width="42.1640625" customWidth="1"/>
    <col min="2" max="2" width="39.6640625" customWidth="1"/>
    <col min="3" max="4" width="34" customWidth="1"/>
    <col min="5" max="5" width="16" style="7" customWidth="1"/>
    <col min="6" max="6" width="28.6640625" customWidth="1"/>
    <col min="7" max="8" width="18.1640625" customWidth="1"/>
    <col min="9" max="9" width="18.1640625" style="7" customWidth="1"/>
  </cols>
  <sheetData>
    <row r="1" spans="1:26" x14ac:dyDescent="0.2">
      <c r="A1" s="8" t="s">
        <v>360</v>
      </c>
      <c r="B1" s="9" t="s">
        <v>361</v>
      </c>
      <c r="C1" s="9"/>
      <c r="D1" s="16" t="s">
        <v>3</v>
      </c>
      <c r="F1" s="8" t="s">
        <v>362</v>
      </c>
      <c r="G1" s="9"/>
      <c r="H1" s="16" t="s">
        <v>3</v>
      </c>
      <c r="J1" s="15" t="s">
        <v>374</v>
      </c>
      <c r="L1" s="2" t="s">
        <v>366</v>
      </c>
      <c r="U1" s="2" t="s">
        <v>367</v>
      </c>
      <c r="Y1" s="3"/>
      <c r="Z1" s="3"/>
    </row>
    <row r="2" spans="1:26" x14ac:dyDescent="0.2">
      <c r="A2" s="10"/>
      <c r="B2" t="s">
        <v>363</v>
      </c>
      <c r="C2" s="21" t="s">
        <v>364</v>
      </c>
      <c r="D2" s="17" t="s">
        <v>377</v>
      </c>
      <c r="F2" s="18">
        <v>0.8</v>
      </c>
      <c r="G2" s="15" t="s">
        <v>26</v>
      </c>
      <c r="H2" s="17" t="s">
        <v>376</v>
      </c>
      <c r="J2" s="15" t="s">
        <v>375</v>
      </c>
      <c r="M2" t="s">
        <v>368</v>
      </c>
      <c r="V2" t="s">
        <v>368</v>
      </c>
      <c r="Y2" s="3"/>
      <c r="Z2" s="3"/>
    </row>
    <row r="3" spans="1:26" x14ac:dyDescent="0.2">
      <c r="A3" s="10" t="s">
        <v>26</v>
      </c>
      <c r="B3">
        <v>100</v>
      </c>
      <c r="C3" s="15">
        <v>100</v>
      </c>
      <c r="D3" s="11"/>
      <c r="F3" s="18">
        <v>0.7</v>
      </c>
      <c r="G3" s="15" t="s">
        <v>44</v>
      </c>
      <c r="H3" s="11"/>
      <c r="K3" t="s">
        <v>24</v>
      </c>
      <c r="L3" s="4"/>
      <c r="M3" s="4" t="s">
        <v>369</v>
      </c>
      <c r="N3" s="4" t="s">
        <v>370</v>
      </c>
      <c r="O3" s="4" t="s">
        <v>371</v>
      </c>
      <c r="P3" s="4" t="s">
        <v>372</v>
      </c>
      <c r="Q3" s="4" t="s">
        <v>373</v>
      </c>
      <c r="R3" s="4"/>
      <c r="S3" s="4"/>
      <c r="T3" s="4" t="s">
        <v>24</v>
      </c>
      <c r="U3" s="4"/>
      <c r="V3" s="4" t="s">
        <v>369</v>
      </c>
      <c r="W3" s="4" t="s">
        <v>370</v>
      </c>
      <c r="X3" s="4" t="s">
        <v>371</v>
      </c>
      <c r="Y3" s="5" t="s">
        <v>372</v>
      </c>
      <c r="Z3" s="5" t="s">
        <v>373</v>
      </c>
    </row>
    <row r="4" spans="1:26" x14ac:dyDescent="0.2">
      <c r="A4" s="10"/>
      <c r="B4">
        <v>100</v>
      </c>
      <c r="C4" s="15"/>
      <c r="D4" s="11"/>
      <c r="F4" s="18">
        <v>1</v>
      </c>
      <c r="G4" s="15" t="s">
        <v>60</v>
      </c>
      <c r="H4" s="11"/>
      <c r="K4">
        <v>1</v>
      </c>
      <c r="L4" t="s">
        <v>26</v>
      </c>
      <c r="M4">
        <v>91</v>
      </c>
      <c r="N4">
        <v>0</v>
      </c>
      <c r="O4">
        <f>M4+N4</f>
        <v>91</v>
      </c>
      <c r="P4" s="3">
        <f>M4/O4*100</f>
        <v>100</v>
      </c>
      <c r="Q4" s="3">
        <f>N4/O4*100</f>
        <v>0</v>
      </c>
      <c r="T4">
        <v>1</v>
      </c>
      <c r="U4" t="s">
        <v>26</v>
      </c>
      <c r="V4">
        <v>96</v>
      </c>
      <c r="W4">
        <v>0</v>
      </c>
      <c r="X4">
        <f>V4+W4</f>
        <v>96</v>
      </c>
      <c r="Y4" s="3">
        <f>V4/X4*100</f>
        <v>100</v>
      </c>
      <c r="Z4" s="3">
        <f>W4/X4*100</f>
        <v>0</v>
      </c>
    </row>
    <row r="5" spans="1:26" x14ac:dyDescent="0.2">
      <c r="A5" s="10"/>
      <c r="B5">
        <v>100</v>
      </c>
      <c r="C5" s="15"/>
      <c r="D5" s="11"/>
      <c r="F5" s="18">
        <v>0.46153846153846156</v>
      </c>
      <c r="G5" s="15" t="s">
        <v>79</v>
      </c>
      <c r="H5" s="11"/>
      <c r="K5">
        <v>3</v>
      </c>
      <c r="L5" t="s">
        <v>26</v>
      </c>
      <c r="M5">
        <v>108</v>
      </c>
      <c r="N5">
        <v>0</v>
      </c>
      <c r="O5">
        <f t="shared" ref="O5:O29" si="0">M5+N5</f>
        <v>108</v>
      </c>
      <c r="P5" s="3">
        <f t="shared" ref="P5:P15" si="1">M5/O5*100</f>
        <v>100</v>
      </c>
      <c r="Q5" s="3">
        <f t="shared" ref="Q5:Q15" si="2">N5/O5*100</f>
        <v>0</v>
      </c>
      <c r="T5">
        <v>3</v>
      </c>
      <c r="U5" t="s">
        <v>26</v>
      </c>
      <c r="V5">
        <v>110</v>
      </c>
      <c r="W5">
        <v>0</v>
      </c>
      <c r="X5">
        <f t="shared" ref="X5:X72" si="3">V5+W5</f>
        <v>110</v>
      </c>
      <c r="Y5" s="3">
        <f t="shared" ref="Y5:Y19" si="4">V5/X5*100</f>
        <v>100</v>
      </c>
      <c r="Z5" s="3">
        <f t="shared" ref="Z5:Z19" si="5">W5/X5*100</f>
        <v>0</v>
      </c>
    </row>
    <row r="6" spans="1:26" x14ac:dyDescent="0.2">
      <c r="A6" s="10"/>
      <c r="B6">
        <v>100</v>
      </c>
      <c r="C6" s="15"/>
      <c r="D6" s="11"/>
      <c r="F6" s="18">
        <v>0.75</v>
      </c>
      <c r="G6" s="15" t="s">
        <v>97</v>
      </c>
      <c r="H6" s="11"/>
      <c r="K6">
        <v>6</v>
      </c>
      <c r="L6" t="s">
        <v>26</v>
      </c>
      <c r="M6">
        <v>70</v>
      </c>
      <c r="N6">
        <v>0</v>
      </c>
      <c r="O6">
        <f t="shared" si="0"/>
        <v>70</v>
      </c>
      <c r="P6" s="3">
        <f t="shared" si="1"/>
        <v>100</v>
      </c>
      <c r="Q6" s="3">
        <f t="shared" si="2"/>
        <v>0</v>
      </c>
      <c r="T6">
        <v>6</v>
      </c>
      <c r="U6" t="s">
        <v>26</v>
      </c>
      <c r="V6">
        <v>18</v>
      </c>
      <c r="W6">
        <v>0</v>
      </c>
      <c r="X6">
        <f t="shared" si="3"/>
        <v>18</v>
      </c>
      <c r="Y6" s="3">
        <f t="shared" si="4"/>
        <v>100</v>
      </c>
      <c r="Z6" s="3">
        <f t="shared" si="5"/>
        <v>0</v>
      </c>
    </row>
    <row r="7" spans="1:26" x14ac:dyDescent="0.2">
      <c r="A7" s="10"/>
      <c r="B7">
        <v>100</v>
      </c>
      <c r="C7" s="15"/>
      <c r="D7" s="11"/>
      <c r="F7" s="19">
        <v>0.33333333333333331</v>
      </c>
      <c r="G7" s="20" t="s">
        <v>115</v>
      </c>
      <c r="H7" s="14"/>
      <c r="K7">
        <v>7</v>
      </c>
      <c r="L7" t="s">
        <v>26</v>
      </c>
      <c r="M7">
        <v>90</v>
      </c>
      <c r="N7">
        <v>0</v>
      </c>
      <c r="O7">
        <f t="shared" si="0"/>
        <v>90</v>
      </c>
      <c r="P7" s="3">
        <f t="shared" si="1"/>
        <v>100</v>
      </c>
      <c r="Q7" s="3">
        <f t="shared" si="2"/>
        <v>0</v>
      </c>
      <c r="T7">
        <v>7</v>
      </c>
      <c r="U7" t="s">
        <v>26</v>
      </c>
      <c r="V7">
        <v>52</v>
      </c>
      <c r="W7">
        <v>0</v>
      </c>
      <c r="X7">
        <f t="shared" si="3"/>
        <v>52</v>
      </c>
      <c r="Y7" s="3">
        <f t="shared" si="4"/>
        <v>100</v>
      </c>
      <c r="Z7" s="3">
        <f t="shared" si="5"/>
        <v>0</v>
      </c>
    </row>
    <row r="8" spans="1:26" x14ac:dyDescent="0.2">
      <c r="A8" s="10"/>
      <c r="B8">
        <v>100</v>
      </c>
      <c r="C8" s="15"/>
      <c r="D8" s="11"/>
      <c r="K8" s="6">
        <v>11</v>
      </c>
      <c r="L8" t="s">
        <v>26</v>
      </c>
      <c r="M8">
        <v>0</v>
      </c>
      <c r="N8">
        <v>0</v>
      </c>
      <c r="O8">
        <f t="shared" si="0"/>
        <v>0</v>
      </c>
      <c r="P8" s="3">
        <v>0</v>
      </c>
      <c r="Q8" s="3">
        <v>0</v>
      </c>
      <c r="T8">
        <v>11</v>
      </c>
      <c r="U8" t="s">
        <v>26</v>
      </c>
      <c r="V8">
        <v>0</v>
      </c>
      <c r="W8">
        <v>0</v>
      </c>
      <c r="X8">
        <f t="shared" si="3"/>
        <v>0</v>
      </c>
      <c r="Y8" s="3">
        <v>0</v>
      </c>
      <c r="Z8" s="3">
        <v>0</v>
      </c>
    </row>
    <row r="9" spans="1:26" x14ac:dyDescent="0.2">
      <c r="A9" s="10"/>
      <c r="B9">
        <v>100</v>
      </c>
      <c r="C9" s="15"/>
      <c r="D9" s="11"/>
      <c r="K9">
        <v>12</v>
      </c>
      <c r="L9" t="s">
        <v>26</v>
      </c>
      <c r="M9">
        <v>0</v>
      </c>
      <c r="N9">
        <v>6</v>
      </c>
      <c r="O9">
        <f t="shared" si="0"/>
        <v>6</v>
      </c>
      <c r="P9" s="3">
        <f t="shared" si="1"/>
        <v>0</v>
      </c>
      <c r="Q9" s="3">
        <f t="shared" si="2"/>
        <v>100</v>
      </c>
      <c r="T9">
        <v>12</v>
      </c>
      <c r="U9" t="s">
        <v>26</v>
      </c>
      <c r="V9">
        <v>0</v>
      </c>
      <c r="W9">
        <v>7</v>
      </c>
      <c r="X9">
        <f t="shared" si="3"/>
        <v>7</v>
      </c>
      <c r="Y9" s="3">
        <f t="shared" si="4"/>
        <v>0</v>
      </c>
      <c r="Z9" s="3">
        <f t="shared" si="5"/>
        <v>100</v>
      </c>
    </row>
    <row r="10" spans="1:26" x14ac:dyDescent="0.2">
      <c r="A10" s="10"/>
      <c r="B10">
        <v>100</v>
      </c>
      <c r="C10" s="15"/>
      <c r="D10" s="11"/>
      <c r="K10">
        <v>13</v>
      </c>
      <c r="L10" t="s">
        <v>26</v>
      </c>
      <c r="M10">
        <v>62</v>
      </c>
      <c r="N10">
        <v>0</v>
      </c>
      <c r="O10">
        <f t="shared" si="0"/>
        <v>62</v>
      </c>
      <c r="P10" s="3">
        <f t="shared" si="1"/>
        <v>100</v>
      </c>
      <c r="Q10" s="3">
        <f t="shared" si="2"/>
        <v>0</v>
      </c>
      <c r="T10">
        <v>13</v>
      </c>
      <c r="U10" t="s">
        <v>26</v>
      </c>
      <c r="V10">
        <v>114</v>
      </c>
      <c r="W10">
        <v>0</v>
      </c>
      <c r="X10">
        <f t="shared" si="3"/>
        <v>114</v>
      </c>
      <c r="Y10" s="3">
        <f t="shared" si="4"/>
        <v>100</v>
      </c>
      <c r="Z10" s="3">
        <f t="shared" si="5"/>
        <v>0</v>
      </c>
    </row>
    <row r="11" spans="1:26" x14ac:dyDescent="0.2">
      <c r="A11" s="10" t="s">
        <v>44</v>
      </c>
      <c r="B11">
        <v>61.428571428571431</v>
      </c>
      <c r="C11" s="15">
        <v>63.875659047283762</v>
      </c>
      <c r="D11" s="11"/>
      <c r="K11">
        <v>14</v>
      </c>
      <c r="L11" t="s">
        <v>26</v>
      </c>
      <c r="M11">
        <v>104</v>
      </c>
      <c r="N11">
        <v>0</v>
      </c>
      <c r="O11">
        <f t="shared" si="0"/>
        <v>104</v>
      </c>
      <c r="P11" s="3">
        <f t="shared" si="1"/>
        <v>100</v>
      </c>
      <c r="Q11" s="3">
        <f t="shared" si="2"/>
        <v>0</v>
      </c>
      <c r="T11">
        <v>14</v>
      </c>
      <c r="U11" t="s">
        <v>26</v>
      </c>
      <c r="V11">
        <v>143</v>
      </c>
      <c r="W11">
        <v>0</v>
      </c>
      <c r="X11">
        <f t="shared" si="3"/>
        <v>143</v>
      </c>
      <c r="Y11" s="3">
        <f t="shared" si="4"/>
        <v>100</v>
      </c>
      <c r="Z11" s="3">
        <f t="shared" si="5"/>
        <v>0</v>
      </c>
    </row>
    <row r="12" spans="1:26" x14ac:dyDescent="0.2">
      <c r="A12" s="10"/>
      <c r="B12">
        <v>72.463768115942031</v>
      </c>
      <c r="C12" s="15"/>
      <c r="D12" s="11"/>
      <c r="K12" s="6">
        <v>15</v>
      </c>
      <c r="L12" t="s">
        <v>26</v>
      </c>
      <c r="M12">
        <v>0</v>
      </c>
      <c r="N12">
        <v>5</v>
      </c>
      <c r="O12">
        <f t="shared" si="0"/>
        <v>5</v>
      </c>
      <c r="P12" s="3">
        <f t="shared" si="1"/>
        <v>0</v>
      </c>
      <c r="Q12" s="3">
        <f t="shared" si="2"/>
        <v>100</v>
      </c>
      <c r="T12">
        <v>15</v>
      </c>
      <c r="U12" t="s">
        <v>26</v>
      </c>
      <c r="V12">
        <v>0</v>
      </c>
      <c r="W12">
        <v>0</v>
      </c>
      <c r="X12">
        <f t="shared" si="3"/>
        <v>0</v>
      </c>
      <c r="Y12" s="3">
        <v>0</v>
      </c>
      <c r="Z12" s="3">
        <v>0</v>
      </c>
    </row>
    <row r="13" spans="1:26" x14ac:dyDescent="0.2">
      <c r="A13" s="10"/>
      <c r="B13">
        <v>96.491228070175438</v>
      </c>
      <c r="C13" s="15"/>
      <c r="D13" s="11"/>
      <c r="K13" s="6">
        <v>16</v>
      </c>
      <c r="L13" t="s">
        <v>26</v>
      </c>
      <c r="M13">
        <v>0</v>
      </c>
      <c r="N13">
        <v>0</v>
      </c>
      <c r="O13">
        <f t="shared" si="0"/>
        <v>0</v>
      </c>
      <c r="P13" s="3">
        <v>0</v>
      </c>
      <c r="Q13" s="3">
        <v>0</v>
      </c>
      <c r="T13">
        <v>16</v>
      </c>
      <c r="U13" t="s">
        <v>26</v>
      </c>
      <c r="V13">
        <v>0</v>
      </c>
      <c r="W13">
        <v>0</v>
      </c>
      <c r="X13">
        <f t="shared" si="3"/>
        <v>0</v>
      </c>
      <c r="Y13" s="3">
        <v>0</v>
      </c>
      <c r="Z13" s="3">
        <v>0</v>
      </c>
    </row>
    <row r="14" spans="1:26" x14ac:dyDescent="0.2">
      <c r="A14" s="10"/>
      <c r="B14">
        <v>0</v>
      </c>
      <c r="C14" s="15"/>
      <c r="D14" s="11"/>
      <c r="K14" s="6">
        <v>17</v>
      </c>
      <c r="L14" t="s">
        <v>26</v>
      </c>
      <c r="M14">
        <v>0</v>
      </c>
      <c r="N14">
        <v>0</v>
      </c>
      <c r="O14">
        <f t="shared" si="0"/>
        <v>0</v>
      </c>
      <c r="P14" s="3">
        <v>0</v>
      </c>
      <c r="Q14" s="3">
        <v>0</v>
      </c>
      <c r="T14">
        <v>17</v>
      </c>
      <c r="U14" t="s">
        <v>26</v>
      </c>
      <c r="V14">
        <v>0</v>
      </c>
      <c r="W14">
        <v>0</v>
      </c>
      <c r="X14">
        <f t="shared" si="3"/>
        <v>0</v>
      </c>
      <c r="Y14" s="3">
        <v>0</v>
      </c>
      <c r="Z14" s="3">
        <v>0</v>
      </c>
    </row>
    <row r="15" spans="1:26" x14ac:dyDescent="0.2">
      <c r="A15" s="10"/>
      <c r="B15">
        <v>100</v>
      </c>
      <c r="C15" s="15"/>
      <c r="D15" s="11"/>
      <c r="K15">
        <v>18</v>
      </c>
      <c r="L15" t="s">
        <v>26</v>
      </c>
      <c r="M15">
        <v>89</v>
      </c>
      <c r="N15">
        <v>0</v>
      </c>
      <c r="O15">
        <f t="shared" si="0"/>
        <v>89</v>
      </c>
      <c r="P15" s="3">
        <f t="shared" si="1"/>
        <v>100</v>
      </c>
      <c r="Q15" s="3">
        <f t="shared" si="2"/>
        <v>0</v>
      </c>
      <c r="T15">
        <v>18</v>
      </c>
      <c r="U15" t="s">
        <v>26</v>
      </c>
      <c r="V15">
        <v>76</v>
      </c>
      <c r="W15">
        <v>0</v>
      </c>
      <c r="X15">
        <f t="shared" si="3"/>
        <v>76</v>
      </c>
      <c r="Y15" s="3">
        <f t="shared" si="4"/>
        <v>100</v>
      </c>
      <c r="Z15" s="3">
        <f t="shared" si="5"/>
        <v>0</v>
      </c>
    </row>
    <row r="16" spans="1:26" x14ac:dyDescent="0.2">
      <c r="A16" s="10"/>
      <c r="B16">
        <v>100</v>
      </c>
      <c r="C16" s="15"/>
      <c r="D16" s="11"/>
      <c r="K16" s="6">
        <v>19</v>
      </c>
      <c r="L16" t="s">
        <v>26</v>
      </c>
      <c r="M16">
        <v>0</v>
      </c>
      <c r="N16">
        <v>0</v>
      </c>
      <c r="O16">
        <f t="shared" si="0"/>
        <v>0</v>
      </c>
      <c r="P16" s="3">
        <v>0</v>
      </c>
      <c r="Q16" s="3">
        <v>0</v>
      </c>
      <c r="T16">
        <v>19</v>
      </c>
      <c r="U16" t="s">
        <v>26</v>
      </c>
      <c r="V16">
        <v>0</v>
      </c>
      <c r="W16">
        <v>0</v>
      </c>
      <c r="X16">
        <f t="shared" si="3"/>
        <v>0</v>
      </c>
      <c r="Y16" s="3">
        <v>0</v>
      </c>
      <c r="Z16" s="3">
        <v>0</v>
      </c>
    </row>
    <row r="17" spans="1:26" x14ac:dyDescent="0.2">
      <c r="A17" s="10"/>
      <c r="B17">
        <v>100</v>
      </c>
      <c r="C17" s="15"/>
      <c r="D17" s="11"/>
      <c r="K17">
        <v>20</v>
      </c>
      <c r="L17" t="s">
        <v>26</v>
      </c>
      <c r="M17">
        <v>57</v>
      </c>
      <c r="N17">
        <v>0</v>
      </c>
      <c r="O17">
        <f t="shared" si="0"/>
        <v>57</v>
      </c>
      <c r="P17" s="3">
        <f t="shared" ref="P17:P28" si="6">M17/O17*100</f>
        <v>100</v>
      </c>
      <c r="Q17" s="3">
        <f t="shared" ref="Q17:Q28" si="7">N17/O17*100</f>
        <v>0</v>
      </c>
      <c r="T17">
        <v>20</v>
      </c>
      <c r="U17" t="s">
        <v>26</v>
      </c>
      <c r="V17">
        <v>82</v>
      </c>
      <c r="W17">
        <v>0</v>
      </c>
      <c r="X17">
        <f t="shared" si="3"/>
        <v>82</v>
      </c>
      <c r="Y17" s="3">
        <f t="shared" si="4"/>
        <v>100</v>
      </c>
      <c r="Z17" s="3">
        <f t="shared" si="5"/>
        <v>0</v>
      </c>
    </row>
    <row r="18" spans="1:26" x14ac:dyDescent="0.2">
      <c r="A18" s="10"/>
      <c r="B18">
        <v>100</v>
      </c>
      <c r="C18" s="15"/>
      <c r="D18" s="11"/>
      <c r="K18">
        <v>1</v>
      </c>
      <c r="L18" t="s">
        <v>44</v>
      </c>
      <c r="M18">
        <v>0</v>
      </c>
      <c r="N18">
        <v>27</v>
      </c>
      <c r="O18">
        <f t="shared" si="0"/>
        <v>27</v>
      </c>
      <c r="P18" s="3">
        <f t="shared" si="6"/>
        <v>0</v>
      </c>
      <c r="Q18" s="3">
        <f t="shared" si="7"/>
        <v>100</v>
      </c>
      <c r="T18">
        <v>1</v>
      </c>
      <c r="U18" t="s">
        <v>44</v>
      </c>
      <c r="V18">
        <v>43</v>
      </c>
      <c r="W18">
        <v>0</v>
      </c>
      <c r="X18">
        <f t="shared" si="3"/>
        <v>43</v>
      </c>
      <c r="Y18" s="3">
        <f t="shared" si="4"/>
        <v>100</v>
      </c>
      <c r="Z18" s="3">
        <f t="shared" si="5"/>
        <v>0</v>
      </c>
    </row>
    <row r="19" spans="1:26" x14ac:dyDescent="0.2">
      <c r="A19" s="10"/>
      <c r="B19">
        <v>100</v>
      </c>
      <c r="C19" s="15"/>
      <c r="D19" s="11"/>
      <c r="K19">
        <v>2</v>
      </c>
      <c r="L19" t="s">
        <v>44</v>
      </c>
      <c r="M19">
        <v>50</v>
      </c>
      <c r="N19">
        <v>0</v>
      </c>
      <c r="O19">
        <f t="shared" si="0"/>
        <v>50</v>
      </c>
      <c r="P19" s="3">
        <f t="shared" si="6"/>
        <v>100</v>
      </c>
      <c r="Q19" s="3">
        <f t="shared" si="7"/>
        <v>0</v>
      </c>
      <c r="T19">
        <v>2</v>
      </c>
      <c r="U19" t="s">
        <v>44</v>
      </c>
      <c r="V19">
        <v>0</v>
      </c>
      <c r="W19">
        <v>19</v>
      </c>
      <c r="X19">
        <f t="shared" si="3"/>
        <v>19</v>
      </c>
      <c r="Y19" s="3">
        <f t="shared" si="4"/>
        <v>0</v>
      </c>
      <c r="Z19" s="3">
        <f t="shared" si="5"/>
        <v>100</v>
      </c>
    </row>
    <row r="20" spans="1:26" x14ac:dyDescent="0.2">
      <c r="A20" s="10"/>
      <c r="B20">
        <v>0</v>
      </c>
      <c r="C20" s="15"/>
      <c r="D20" s="11"/>
      <c r="K20" s="6">
        <v>3</v>
      </c>
      <c r="L20" t="s">
        <v>44</v>
      </c>
      <c r="M20">
        <v>0</v>
      </c>
      <c r="N20">
        <v>0</v>
      </c>
      <c r="O20">
        <f t="shared" si="0"/>
        <v>0</v>
      </c>
      <c r="P20" s="3">
        <v>0</v>
      </c>
      <c r="Q20" s="3">
        <v>0</v>
      </c>
      <c r="T20">
        <v>3</v>
      </c>
      <c r="U20" t="s">
        <v>44</v>
      </c>
      <c r="V20">
        <v>0</v>
      </c>
      <c r="W20">
        <v>0</v>
      </c>
      <c r="X20">
        <f t="shared" si="3"/>
        <v>0</v>
      </c>
      <c r="Y20" s="3">
        <v>0</v>
      </c>
      <c r="Z20" s="3">
        <v>0</v>
      </c>
    </row>
    <row r="21" spans="1:26" x14ac:dyDescent="0.2">
      <c r="A21" s="10"/>
      <c r="B21">
        <v>100</v>
      </c>
      <c r="C21" s="15"/>
      <c r="D21" s="11"/>
      <c r="K21" s="6">
        <v>4</v>
      </c>
      <c r="L21" t="s">
        <v>44</v>
      </c>
      <c r="M21">
        <v>0</v>
      </c>
      <c r="N21">
        <v>0</v>
      </c>
      <c r="O21">
        <f t="shared" si="0"/>
        <v>0</v>
      </c>
      <c r="P21" s="3">
        <v>0</v>
      </c>
      <c r="Q21" s="3">
        <v>0</v>
      </c>
      <c r="T21">
        <v>4</v>
      </c>
      <c r="U21" t="s">
        <v>44</v>
      </c>
      <c r="V21">
        <v>0</v>
      </c>
      <c r="W21">
        <v>0</v>
      </c>
      <c r="X21">
        <f t="shared" si="3"/>
        <v>0</v>
      </c>
      <c r="Y21" s="3">
        <v>0</v>
      </c>
      <c r="Z21" s="3">
        <v>0</v>
      </c>
    </row>
    <row r="22" spans="1:26" x14ac:dyDescent="0.2">
      <c r="A22" s="10"/>
      <c r="B22">
        <v>0</v>
      </c>
      <c r="C22" s="15"/>
      <c r="D22" s="11"/>
      <c r="K22">
        <v>5</v>
      </c>
      <c r="L22" t="s">
        <v>44</v>
      </c>
      <c r="M22">
        <v>43</v>
      </c>
      <c r="N22">
        <v>0</v>
      </c>
      <c r="O22">
        <f t="shared" si="0"/>
        <v>43</v>
      </c>
      <c r="P22" s="3">
        <f t="shared" si="6"/>
        <v>100</v>
      </c>
      <c r="Q22" s="3">
        <f t="shared" si="7"/>
        <v>0</v>
      </c>
      <c r="T22">
        <v>5</v>
      </c>
      <c r="U22" t="s">
        <v>44</v>
      </c>
      <c r="V22">
        <v>12</v>
      </c>
      <c r="W22">
        <v>2</v>
      </c>
      <c r="X22">
        <f t="shared" si="3"/>
        <v>14</v>
      </c>
      <c r="Y22" s="3">
        <f t="shared" ref="Y22:Y52" si="8">V22/X22*100</f>
        <v>85.714285714285708</v>
      </c>
      <c r="Z22" s="3">
        <f t="shared" ref="Z22:Z52" si="9">W22/X22*100</f>
        <v>14.285714285714285</v>
      </c>
    </row>
    <row r="23" spans="1:26" x14ac:dyDescent="0.2">
      <c r="A23" s="10"/>
      <c r="B23">
        <v>0</v>
      </c>
      <c r="C23" s="15"/>
      <c r="D23" s="11"/>
      <c r="K23" s="6">
        <v>6</v>
      </c>
      <c r="L23" t="s">
        <v>44</v>
      </c>
      <c r="M23">
        <v>0</v>
      </c>
      <c r="N23">
        <v>0</v>
      </c>
      <c r="O23">
        <f t="shared" si="0"/>
        <v>0</v>
      </c>
      <c r="P23" s="3">
        <v>0</v>
      </c>
      <c r="Q23" s="3">
        <v>0</v>
      </c>
      <c r="T23">
        <v>6</v>
      </c>
      <c r="U23" t="s">
        <v>44</v>
      </c>
      <c r="V23">
        <v>0</v>
      </c>
      <c r="W23">
        <v>16</v>
      </c>
      <c r="X23">
        <f t="shared" si="3"/>
        <v>16</v>
      </c>
      <c r="Y23" s="3">
        <f t="shared" si="8"/>
        <v>0</v>
      </c>
      <c r="Z23" s="3">
        <f t="shared" si="9"/>
        <v>100</v>
      </c>
    </row>
    <row r="24" spans="1:26" x14ac:dyDescent="0.2">
      <c r="A24" s="10" t="s">
        <v>60</v>
      </c>
      <c r="B24">
        <v>100</v>
      </c>
      <c r="C24" s="15">
        <v>100</v>
      </c>
      <c r="D24" s="11"/>
      <c r="K24">
        <v>7</v>
      </c>
      <c r="L24" t="s">
        <v>44</v>
      </c>
      <c r="M24">
        <v>0</v>
      </c>
      <c r="N24">
        <v>2</v>
      </c>
      <c r="O24">
        <f t="shared" si="0"/>
        <v>2</v>
      </c>
      <c r="P24" s="3">
        <f t="shared" si="6"/>
        <v>0</v>
      </c>
      <c r="Q24" s="3">
        <f t="shared" si="7"/>
        <v>100</v>
      </c>
      <c r="T24">
        <v>7</v>
      </c>
      <c r="U24" t="s">
        <v>44</v>
      </c>
      <c r="V24">
        <v>0</v>
      </c>
      <c r="W24">
        <v>0</v>
      </c>
      <c r="X24">
        <f t="shared" si="3"/>
        <v>0</v>
      </c>
      <c r="Y24" s="3">
        <v>0</v>
      </c>
      <c r="Z24" s="3">
        <v>0</v>
      </c>
    </row>
    <row r="25" spans="1:26" x14ac:dyDescent="0.2">
      <c r="A25" s="10"/>
      <c r="B25">
        <v>100</v>
      </c>
      <c r="C25" s="15"/>
      <c r="D25" s="11"/>
      <c r="K25">
        <v>8</v>
      </c>
      <c r="L25" t="s">
        <v>44</v>
      </c>
      <c r="M25">
        <v>70</v>
      </c>
      <c r="N25">
        <v>0</v>
      </c>
      <c r="O25">
        <f t="shared" si="0"/>
        <v>70</v>
      </c>
      <c r="P25" s="3">
        <f t="shared" si="6"/>
        <v>100</v>
      </c>
      <c r="Q25" s="3">
        <f t="shared" si="7"/>
        <v>0</v>
      </c>
      <c r="T25">
        <v>8</v>
      </c>
      <c r="U25" t="s">
        <v>44</v>
      </c>
      <c r="V25">
        <v>58</v>
      </c>
      <c r="W25">
        <v>0</v>
      </c>
      <c r="X25">
        <f t="shared" si="3"/>
        <v>58</v>
      </c>
      <c r="Y25" s="3">
        <f t="shared" si="8"/>
        <v>100</v>
      </c>
      <c r="Z25" s="3">
        <f t="shared" si="9"/>
        <v>0</v>
      </c>
    </row>
    <row r="26" spans="1:26" x14ac:dyDescent="0.2">
      <c r="A26" s="10"/>
      <c r="B26">
        <v>100</v>
      </c>
      <c r="C26" s="15"/>
      <c r="D26" s="11"/>
      <c r="K26">
        <v>9</v>
      </c>
      <c r="L26" t="s">
        <v>44</v>
      </c>
      <c r="M26">
        <v>62</v>
      </c>
      <c r="N26">
        <v>0</v>
      </c>
      <c r="O26">
        <f t="shared" si="0"/>
        <v>62</v>
      </c>
      <c r="P26" s="3">
        <f t="shared" si="6"/>
        <v>100</v>
      </c>
      <c r="Q26" s="3">
        <f t="shared" si="7"/>
        <v>0</v>
      </c>
      <c r="T26">
        <v>9</v>
      </c>
      <c r="U26" t="s">
        <v>44</v>
      </c>
      <c r="V26">
        <v>55</v>
      </c>
      <c r="W26">
        <v>0</v>
      </c>
      <c r="X26">
        <f t="shared" si="3"/>
        <v>55</v>
      </c>
      <c r="Y26" s="3">
        <f t="shared" si="8"/>
        <v>100</v>
      </c>
      <c r="Z26" s="3">
        <f t="shared" si="9"/>
        <v>0</v>
      </c>
    </row>
    <row r="27" spans="1:26" x14ac:dyDescent="0.2">
      <c r="A27" s="10"/>
      <c r="B27">
        <v>100</v>
      </c>
      <c r="C27" s="15"/>
      <c r="D27" s="11"/>
      <c r="K27" s="6">
        <v>10</v>
      </c>
      <c r="L27" t="s">
        <v>44</v>
      </c>
      <c r="M27">
        <v>0</v>
      </c>
      <c r="N27">
        <v>0</v>
      </c>
      <c r="O27">
        <f t="shared" si="0"/>
        <v>0</v>
      </c>
      <c r="P27" s="3">
        <v>0</v>
      </c>
      <c r="Q27" s="3">
        <v>0</v>
      </c>
      <c r="T27">
        <v>10</v>
      </c>
      <c r="U27" t="s">
        <v>44</v>
      </c>
      <c r="V27">
        <v>0</v>
      </c>
      <c r="W27">
        <v>0</v>
      </c>
      <c r="X27">
        <f t="shared" si="3"/>
        <v>0</v>
      </c>
      <c r="Y27" s="3">
        <v>0</v>
      </c>
      <c r="Z27" s="3">
        <v>0</v>
      </c>
    </row>
    <row r="28" spans="1:26" x14ac:dyDescent="0.2">
      <c r="A28" s="10"/>
      <c r="C28" s="15"/>
      <c r="D28" s="11"/>
      <c r="K28">
        <v>11</v>
      </c>
      <c r="L28" t="s">
        <v>44</v>
      </c>
      <c r="M28">
        <v>60</v>
      </c>
      <c r="N28">
        <v>0</v>
      </c>
      <c r="O28">
        <f t="shared" si="0"/>
        <v>60</v>
      </c>
      <c r="P28" s="3">
        <f t="shared" si="6"/>
        <v>100</v>
      </c>
      <c r="Q28" s="3">
        <f t="shared" si="7"/>
        <v>0</v>
      </c>
      <c r="T28">
        <v>11</v>
      </c>
      <c r="U28" t="s">
        <v>44</v>
      </c>
      <c r="V28">
        <v>50</v>
      </c>
      <c r="W28">
        <v>0</v>
      </c>
      <c r="X28">
        <f t="shared" si="3"/>
        <v>50</v>
      </c>
      <c r="Y28" s="3">
        <f t="shared" si="8"/>
        <v>100</v>
      </c>
      <c r="Z28" s="3">
        <f t="shared" si="9"/>
        <v>0</v>
      </c>
    </row>
    <row r="29" spans="1:26" x14ac:dyDescent="0.2">
      <c r="A29" s="10"/>
      <c r="C29" s="15"/>
      <c r="D29" s="11"/>
      <c r="K29" s="6">
        <v>12</v>
      </c>
      <c r="L29" t="s">
        <v>44</v>
      </c>
      <c r="M29">
        <v>0</v>
      </c>
      <c r="N29">
        <v>0</v>
      </c>
      <c r="O29">
        <f t="shared" si="0"/>
        <v>0</v>
      </c>
      <c r="P29" s="3">
        <v>0</v>
      </c>
      <c r="Q29" s="3">
        <v>0</v>
      </c>
      <c r="T29">
        <v>12</v>
      </c>
      <c r="U29" t="s">
        <v>44</v>
      </c>
      <c r="V29">
        <v>0</v>
      </c>
      <c r="W29">
        <v>0</v>
      </c>
      <c r="X29">
        <f t="shared" si="3"/>
        <v>0</v>
      </c>
      <c r="Y29" s="3">
        <v>0</v>
      </c>
      <c r="Z29" s="3">
        <v>0</v>
      </c>
    </row>
    <row r="30" spans="1:26" x14ac:dyDescent="0.2">
      <c r="A30" s="10"/>
      <c r="B30" t="s">
        <v>365</v>
      </c>
      <c r="C30" s="15"/>
      <c r="D30" s="11"/>
      <c r="K30">
        <v>13</v>
      </c>
      <c r="L30" t="s">
        <v>44</v>
      </c>
      <c r="M30">
        <v>76</v>
      </c>
      <c r="N30">
        <v>0</v>
      </c>
      <c r="O30">
        <f>M30+N30</f>
        <v>76</v>
      </c>
      <c r="P30" s="3">
        <f>M30/O30*100</f>
        <v>100</v>
      </c>
      <c r="Q30" s="3">
        <f>N30/O30*100</f>
        <v>0</v>
      </c>
      <c r="T30">
        <v>13</v>
      </c>
      <c r="U30" t="s">
        <v>44</v>
      </c>
      <c r="V30">
        <v>60</v>
      </c>
      <c r="W30">
        <v>0</v>
      </c>
      <c r="X30">
        <f t="shared" si="3"/>
        <v>60</v>
      </c>
      <c r="Y30" s="3">
        <f t="shared" si="8"/>
        <v>100</v>
      </c>
      <c r="Z30" s="3">
        <f t="shared" si="9"/>
        <v>0</v>
      </c>
    </row>
    <row r="31" spans="1:26" x14ac:dyDescent="0.2">
      <c r="A31" s="10"/>
      <c r="B31" t="s">
        <v>363</v>
      </c>
      <c r="C31" s="21" t="s">
        <v>364</v>
      </c>
      <c r="D31" s="11"/>
      <c r="K31">
        <v>14</v>
      </c>
      <c r="L31" t="s">
        <v>44</v>
      </c>
      <c r="M31">
        <v>53</v>
      </c>
      <c r="N31">
        <v>0</v>
      </c>
      <c r="O31">
        <f t="shared" ref="O31:O47" si="10">M31+N31</f>
        <v>53</v>
      </c>
      <c r="P31" s="3">
        <f t="shared" ref="P31:P47" si="11">M31/O31*100</f>
        <v>100</v>
      </c>
      <c r="Q31" s="3">
        <f t="shared" ref="Q31:Q47" si="12">N31/O31*100</f>
        <v>0</v>
      </c>
      <c r="T31">
        <v>14</v>
      </c>
      <c r="U31" t="s">
        <v>44</v>
      </c>
      <c r="V31">
        <v>70</v>
      </c>
      <c r="W31">
        <v>0</v>
      </c>
      <c r="X31">
        <f t="shared" si="3"/>
        <v>70</v>
      </c>
      <c r="Y31" s="3">
        <f t="shared" si="8"/>
        <v>100</v>
      </c>
      <c r="Z31" s="3">
        <f t="shared" si="9"/>
        <v>0</v>
      </c>
    </row>
    <row r="32" spans="1:26" x14ac:dyDescent="0.2">
      <c r="A32" s="10" t="s">
        <v>79</v>
      </c>
      <c r="B32">
        <v>100</v>
      </c>
      <c r="C32" s="15">
        <v>90.689450358324521</v>
      </c>
      <c r="D32" s="11"/>
      <c r="K32">
        <v>15</v>
      </c>
      <c r="L32" t="s">
        <v>44</v>
      </c>
      <c r="M32">
        <v>0</v>
      </c>
      <c r="N32">
        <v>5</v>
      </c>
      <c r="O32">
        <f t="shared" si="10"/>
        <v>5</v>
      </c>
      <c r="P32" s="3">
        <f t="shared" si="11"/>
        <v>0</v>
      </c>
      <c r="Q32" s="3">
        <f t="shared" si="12"/>
        <v>100</v>
      </c>
      <c r="T32">
        <v>15</v>
      </c>
      <c r="U32" t="s">
        <v>44</v>
      </c>
      <c r="V32">
        <v>0</v>
      </c>
      <c r="W32">
        <v>17</v>
      </c>
      <c r="X32">
        <f t="shared" si="3"/>
        <v>17</v>
      </c>
      <c r="Y32" s="3">
        <f t="shared" si="8"/>
        <v>0</v>
      </c>
      <c r="Z32" s="3">
        <f t="shared" si="9"/>
        <v>100</v>
      </c>
    </row>
    <row r="33" spans="1:26" x14ac:dyDescent="0.2">
      <c r="A33" s="10"/>
      <c r="B33">
        <v>100</v>
      </c>
      <c r="C33" s="15"/>
      <c r="D33" s="11"/>
      <c r="K33">
        <v>16</v>
      </c>
      <c r="L33" t="s">
        <v>44</v>
      </c>
      <c r="M33">
        <v>64</v>
      </c>
      <c r="N33">
        <v>0</v>
      </c>
      <c r="O33">
        <f t="shared" si="10"/>
        <v>64</v>
      </c>
      <c r="P33" s="3">
        <f t="shared" si="11"/>
        <v>100</v>
      </c>
      <c r="Q33" s="3">
        <f t="shared" si="12"/>
        <v>0</v>
      </c>
      <c r="T33">
        <v>16</v>
      </c>
      <c r="U33" t="s">
        <v>44</v>
      </c>
      <c r="V33">
        <v>43</v>
      </c>
      <c r="W33">
        <v>0</v>
      </c>
      <c r="X33">
        <f t="shared" si="3"/>
        <v>43</v>
      </c>
      <c r="Y33" s="3">
        <f t="shared" si="8"/>
        <v>100</v>
      </c>
      <c r="Z33" s="3">
        <f t="shared" si="9"/>
        <v>0</v>
      </c>
    </row>
    <row r="34" spans="1:26" x14ac:dyDescent="0.2">
      <c r="A34" s="10"/>
      <c r="B34">
        <v>100</v>
      </c>
      <c r="C34" s="15"/>
      <c r="D34" s="11"/>
      <c r="K34">
        <v>17</v>
      </c>
      <c r="L34" t="s">
        <v>44</v>
      </c>
      <c r="M34">
        <v>0</v>
      </c>
      <c r="N34">
        <v>21</v>
      </c>
      <c r="O34">
        <f t="shared" si="10"/>
        <v>21</v>
      </c>
      <c r="P34" s="3">
        <f t="shared" si="11"/>
        <v>0</v>
      </c>
      <c r="Q34" s="3">
        <f t="shared" si="12"/>
        <v>100</v>
      </c>
      <c r="T34">
        <v>17</v>
      </c>
      <c r="U34" t="s">
        <v>44</v>
      </c>
      <c r="V34">
        <v>0</v>
      </c>
      <c r="W34">
        <v>13</v>
      </c>
      <c r="X34">
        <f t="shared" si="3"/>
        <v>13</v>
      </c>
      <c r="Y34" s="3">
        <f t="shared" si="8"/>
        <v>0</v>
      </c>
      <c r="Z34" s="3">
        <f t="shared" si="9"/>
        <v>100</v>
      </c>
    </row>
    <row r="35" spans="1:26" x14ac:dyDescent="0.2">
      <c r="A35" s="10"/>
      <c r="B35">
        <v>100</v>
      </c>
      <c r="C35" s="15"/>
      <c r="D35" s="11"/>
      <c r="K35">
        <v>18</v>
      </c>
      <c r="L35" t="s">
        <v>44</v>
      </c>
      <c r="M35">
        <v>0</v>
      </c>
      <c r="N35">
        <v>3</v>
      </c>
      <c r="O35">
        <f t="shared" si="10"/>
        <v>3</v>
      </c>
      <c r="P35" s="3">
        <f t="shared" si="11"/>
        <v>0</v>
      </c>
      <c r="Q35" s="3">
        <f t="shared" si="12"/>
        <v>100</v>
      </c>
      <c r="T35">
        <v>18</v>
      </c>
      <c r="U35" t="s">
        <v>44</v>
      </c>
      <c r="V35">
        <v>0</v>
      </c>
      <c r="W35">
        <v>13</v>
      </c>
      <c r="X35">
        <f t="shared" si="3"/>
        <v>13</v>
      </c>
      <c r="Y35" s="3">
        <f t="shared" si="8"/>
        <v>0</v>
      </c>
      <c r="Z35" s="3">
        <f t="shared" si="9"/>
        <v>100</v>
      </c>
    </row>
    <row r="36" spans="1:26" x14ac:dyDescent="0.2">
      <c r="A36" s="10"/>
      <c r="B36">
        <v>95.238095238095227</v>
      </c>
      <c r="C36" s="15"/>
      <c r="D36" s="11"/>
      <c r="K36" s="6">
        <v>13</v>
      </c>
      <c r="L36" t="s">
        <v>60</v>
      </c>
      <c r="M36">
        <v>0</v>
      </c>
      <c r="N36">
        <v>0</v>
      </c>
      <c r="O36">
        <f t="shared" si="10"/>
        <v>0</v>
      </c>
      <c r="P36" s="3">
        <v>0</v>
      </c>
      <c r="Q36" s="3">
        <v>0</v>
      </c>
      <c r="T36">
        <v>13</v>
      </c>
      <c r="U36" t="s">
        <v>60</v>
      </c>
      <c r="V36">
        <v>0</v>
      </c>
      <c r="W36">
        <v>0</v>
      </c>
      <c r="X36">
        <f>V36+W36</f>
        <v>0</v>
      </c>
      <c r="Y36" s="3">
        <v>0</v>
      </c>
      <c r="Z36" s="3">
        <v>0</v>
      </c>
    </row>
    <row r="37" spans="1:26" x14ac:dyDescent="0.2">
      <c r="A37" s="10"/>
      <c r="B37">
        <v>99.090909090909093</v>
      </c>
      <c r="C37" s="15"/>
      <c r="D37" s="11"/>
      <c r="K37">
        <v>17</v>
      </c>
      <c r="L37" t="s">
        <v>60</v>
      </c>
      <c r="M37">
        <v>92</v>
      </c>
      <c r="N37">
        <v>0</v>
      </c>
      <c r="O37">
        <f t="shared" si="10"/>
        <v>92</v>
      </c>
      <c r="P37" s="3">
        <f t="shared" si="11"/>
        <v>100</v>
      </c>
      <c r="Q37" s="3">
        <f t="shared" si="12"/>
        <v>0</v>
      </c>
      <c r="T37">
        <v>17</v>
      </c>
      <c r="U37" t="s">
        <v>60</v>
      </c>
      <c r="V37">
        <v>99</v>
      </c>
      <c r="W37">
        <v>0</v>
      </c>
      <c r="X37">
        <f t="shared" si="3"/>
        <v>99</v>
      </c>
      <c r="Y37" s="3">
        <f t="shared" si="8"/>
        <v>100</v>
      </c>
      <c r="Z37" s="3">
        <f t="shared" si="9"/>
        <v>0</v>
      </c>
    </row>
    <row r="38" spans="1:26" x14ac:dyDescent="0.2">
      <c r="A38" s="10"/>
      <c r="B38">
        <v>0</v>
      </c>
      <c r="C38" s="15"/>
      <c r="D38" s="11"/>
      <c r="K38">
        <v>18</v>
      </c>
      <c r="L38" t="s">
        <v>60</v>
      </c>
      <c r="M38">
        <v>0</v>
      </c>
      <c r="N38">
        <v>0</v>
      </c>
      <c r="O38">
        <f t="shared" si="10"/>
        <v>0</v>
      </c>
      <c r="P38" s="3">
        <v>0</v>
      </c>
      <c r="Q38" s="3">
        <v>0</v>
      </c>
      <c r="T38">
        <v>18</v>
      </c>
      <c r="U38" t="s">
        <v>60</v>
      </c>
      <c r="V38">
        <v>95</v>
      </c>
      <c r="W38">
        <v>0</v>
      </c>
      <c r="X38">
        <f t="shared" si="3"/>
        <v>95</v>
      </c>
      <c r="Y38" s="3">
        <f t="shared" si="8"/>
        <v>100</v>
      </c>
      <c r="Z38" s="3">
        <f t="shared" si="9"/>
        <v>0</v>
      </c>
    </row>
    <row r="39" spans="1:26" x14ac:dyDescent="0.2">
      <c r="A39" s="10"/>
      <c r="B39">
        <v>98.901098901098905</v>
      </c>
      <c r="C39" s="15"/>
      <c r="D39" s="11"/>
      <c r="K39" s="6">
        <v>19</v>
      </c>
      <c r="L39" t="s">
        <v>60</v>
      </c>
      <c r="M39">
        <v>20</v>
      </c>
      <c r="N39">
        <v>0</v>
      </c>
      <c r="O39">
        <f t="shared" si="10"/>
        <v>20</v>
      </c>
      <c r="P39" s="3">
        <f t="shared" si="11"/>
        <v>100</v>
      </c>
      <c r="Q39" s="3">
        <f t="shared" si="12"/>
        <v>0</v>
      </c>
      <c r="T39">
        <v>19</v>
      </c>
      <c r="U39" t="s">
        <v>60</v>
      </c>
      <c r="V39">
        <v>0</v>
      </c>
      <c r="W39">
        <v>0</v>
      </c>
      <c r="X39">
        <f t="shared" si="3"/>
        <v>0</v>
      </c>
      <c r="Y39" s="3">
        <v>0</v>
      </c>
      <c r="Z39" s="3">
        <v>0</v>
      </c>
    </row>
    <row r="40" spans="1:26" x14ac:dyDescent="0.2">
      <c r="A40" s="10"/>
      <c r="B40">
        <v>100</v>
      </c>
      <c r="C40" s="15"/>
      <c r="D40" s="11"/>
      <c r="K40">
        <v>20</v>
      </c>
      <c r="L40" t="s">
        <v>60</v>
      </c>
      <c r="M40">
        <v>45</v>
      </c>
      <c r="N40">
        <v>0</v>
      </c>
      <c r="O40">
        <f t="shared" si="10"/>
        <v>45</v>
      </c>
      <c r="P40" s="3">
        <f t="shared" si="11"/>
        <v>100</v>
      </c>
      <c r="Q40" s="3">
        <f t="shared" si="12"/>
        <v>0</v>
      </c>
      <c r="T40">
        <v>20</v>
      </c>
      <c r="U40" t="s">
        <v>60</v>
      </c>
      <c r="V40">
        <v>110</v>
      </c>
      <c r="W40">
        <v>0</v>
      </c>
      <c r="X40">
        <f t="shared" si="3"/>
        <v>110</v>
      </c>
      <c r="Y40" s="3">
        <f t="shared" si="8"/>
        <v>100</v>
      </c>
      <c r="Z40" s="3">
        <f t="shared" si="9"/>
        <v>0</v>
      </c>
    </row>
    <row r="41" spans="1:26" x14ac:dyDescent="0.2">
      <c r="A41" s="10"/>
      <c r="B41">
        <v>97.692307692307693</v>
      </c>
      <c r="C41" s="15"/>
      <c r="D41" s="11"/>
      <c r="P41" s="5">
        <f>AVERAGE(P4:P40)</f>
        <v>51.351351351351354</v>
      </c>
      <c r="Q41" s="5">
        <f>AVERAGE(Q4:Q40)</f>
        <v>18.918918918918919</v>
      </c>
      <c r="R41" s="4"/>
      <c r="S41" s="4"/>
      <c r="T41" s="4"/>
      <c r="U41" s="4"/>
      <c r="V41" s="4"/>
      <c r="W41" s="4"/>
      <c r="X41" s="4"/>
      <c r="Y41" s="5">
        <f>AVERAGE(Y4:Y40)</f>
        <v>50.965250965250966</v>
      </c>
      <c r="Z41" s="5">
        <f>AVERAGE(Z4:Z40)</f>
        <v>16.602316602316602</v>
      </c>
    </row>
    <row r="42" spans="1:26" x14ac:dyDescent="0.2">
      <c r="A42" s="10"/>
      <c r="B42">
        <v>97.350993377483448</v>
      </c>
      <c r="C42" s="15"/>
      <c r="D42" s="11"/>
      <c r="P42" s="3"/>
      <c r="Q42" s="3"/>
      <c r="Y42" s="3"/>
      <c r="Z42" s="3"/>
    </row>
    <row r="43" spans="1:26" x14ac:dyDescent="0.2">
      <c r="A43" s="10"/>
      <c r="B43">
        <v>100</v>
      </c>
      <c r="C43" s="15"/>
      <c r="D43" s="11"/>
      <c r="P43" s="3"/>
      <c r="Q43" s="3"/>
      <c r="Y43" s="3"/>
      <c r="Z43" s="3"/>
    </row>
    <row r="44" spans="1:26" x14ac:dyDescent="0.2">
      <c r="A44" s="10" t="s">
        <v>97</v>
      </c>
      <c r="B44">
        <v>100</v>
      </c>
      <c r="C44" s="15">
        <v>90</v>
      </c>
      <c r="D44" s="11"/>
      <c r="P44" s="3"/>
      <c r="Q44" s="3"/>
      <c r="Y44" s="3"/>
      <c r="Z44" s="3"/>
    </row>
    <row r="45" spans="1:26" x14ac:dyDescent="0.2">
      <c r="A45" s="10"/>
      <c r="B45">
        <v>100</v>
      </c>
      <c r="C45" s="15"/>
      <c r="D45" s="11"/>
      <c r="K45">
        <v>1</v>
      </c>
      <c r="L45" t="s">
        <v>79</v>
      </c>
      <c r="M45">
        <v>66</v>
      </c>
      <c r="N45">
        <v>0</v>
      </c>
      <c r="O45">
        <f t="shared" si="10"/>
        <v>66</v>
      </c>
      <c r="P45" s="3">
        <f t="shared" si="11"/>
        <v>100</v>
      </c>
      <c r="Q45" s="3">
        <f t="shared" si="12"/>
        <v>0</v>
      </c>
      <c r="T45">
        <v>1</v>
      </c>
      <c r="U45" t="s">
        <v>79</v>
      </c>
      <c r="V45">
        <v>79</v>
      </c>
      <c r="W45">
        <v>0</v>
      </c>
      <c r="X45">
        <f t="shared" si="3"/>
        <v>79</v>
      </c>
      <c r="Y45" s="3">
        <f t="shared" si="8"/>
        <v>100</v>
      </c>
      <c r="Z45" s="3">
        <f t="shared" si="9"/>
        <v>0</v>
      </c>
    </row>
    <row r="46" spans="1:26" x14ac:dyDescent="0.2">
      <c r="A46" s="10"/>
      <c r="B46">
        <v>100</v>
      </c>
      <c r="C46" s="15"/>
      <c r="D46" s="11"/>
      <c r="K46">
        <v>2</v>
      </c>
      <c r="L46" t="s">
        <v>79</v>
      </c>
      <c r="M46">
        <v>55</v>
      </c>
      <c r="N46">
        <v>0</v>
      </c>
      <c r="O46">
        <f t="shared" si="10"/>
        <v>55</v>
      </c>
      <c r="P46" s="3">
        <f t="shared" si="11"/>
        <v>100</v>
      </c>
      <c r="Q46" s="3">
        <f t="shared" si="12"/>
        <v>0</v>
      </c>
      <c r="T46">
        <v>2</v>
      </c>
      <c r="U46" t="s">
        <v>79</v>
      </c>
      <c r="V46">
        <v>72</v>
      </c>
      <c r="W46">
        <v>0</v>
      </c>
      <c r="X46">
        <f t="shared" si="3"/>
        <v>72</v>
      </c>
      <c r="Y46" s="3">
        <f t="shared" si="8"/>
        <v>100</v>
      </c>
      <c r="Z46" s="3">
        <f t="shared" si="9"/>
        <v>0</v>
      </c>
    </row>
    <row r="47" spans="1:26" x14ac:dyDescent="0.2">
      <c r="A47" s="10"/>
      <c r="B47">
        <v>100</v>
      </c>
      <c r="C47" s="15"/>
      <c r="D47" s="11"/>
      <c r="K47">
        <v>3</v>
      </c>
      <c r="L47" t="s">
        <v>79</v>
      </c>
      <c r="M47">
        <v>70</v>
      </c>
      <c r="N47">
        <v>0</v>
      </c>
      <c r="O47">
        <f t="shared" si="10"/>
        <v>70</v>
      </c>
      <c r="P47" s="3">
        <f t="shared" si="11"/>
        <v>100</v>
      </c>
      <c r="Q47" s="3">
        <f t="shared" si="12"/>
        <v>0</v>
      </c>
      <c r="T47">
        <v>3</v>
      </c>
      <c r="U47" t="s">
        <v>79</v>
      </c>
      <c r="V47">
        <v>79</v>
      </c>
      <c r="W47">
        <v>0</v>
      </c>
      <c r="X47">
        <f t="shared" si="3"/>
        <v>79</v>
      </c>
      <c r="Y47" s="3">
        <f t="shared" si="8"/>
        <v>100</v>
      </c>
      <c r="Z47" s="3">
        <f t="shared" si="9"/>
        <v>0</v>
      </c>
    </row>
    <row r="48" spans="1:26" x14ac:dyDescent="0.2">
      <c r="A48" s="10"/>
      <c r="B48">
        <v>100</v>
      </c>
      <c r="C48" s="15"/>
      <c r="D48" s="11"/>
      <c r="K48" s="6">
        <v>4</v>
      </c>
      <c r="L48" t="s">
        <v>79</v>
      </c>
      <c r="M48">
        <v>0</v>
      </c>
      <c r="N48">
        <v>0</v>
      </c>
      <c r="O48">
        <f>M48+N48</f>
        <v>0</v>
      </c>
      <c r="P48" s="3">
        <v>0</v>
      </c>
      <c r="Q48" s="3">
        <v>0</v>
      </c>
      <c r="T48">
        <v>4</v>
      </c>
      <c r="U48" t="s">
        <v>79</v>
      </c>
      <c r="V48">
        <v>0</v>
      </c>
      <c r="W48">
        <v>2</v>
      </c>
      <c r="X48">
        <f t="shared" si="3"/>
        <v>2</v>
      </c>
      <c r="Y48" s="3">
        <f t="shared" si="8"/>
        <v>0</v>
      </c>
      <c r="Z48" s="3">
        <f t="shared" si="9"/>
        <v>100</v>
      </c>
    </row>
    <row r="49" spans="1:26" x14ac:dyDescent="0.2">
      <c r="A49" s="10"/>
      <c r="B49">
        <v>100</v>
      </c>
      <c r="C49" s="15"/>
      <c r="D49" s="11"/>
      <c r="K49">
        <v>5</v>
      </c>
      <c r="L49" t="s">
        <v>79</v>
      </c>
      <c r="M49">
        <v>78</v>
      </c>
      <c r="N49">
        <v>0</v>
      </c>
      <c r="O49">
        <f t="shared" ref="O49:O61" si="13">M49+N49</f>
        <v>78</v>
      </c>
      <c r="P49" s="3">
        <f t="shared" ref="P49:P61" si="14">M49/O49*100</f>
        <v>100</v>
      </c>
      <c r="Q49" s="3">
        <f t="shared" ref="Q49:Q61" si="15">N49/O49*100</f>
        <v>0</v>
      </c>
      <c r="T49">
        <v>5</v>
      </c>
      <c r="U49" t="s">
        <v>79</v>
      </c>
      <c r="V49">
        <v>59</v>
      </c>
      <c r="W49">
        <v>0</v>
      </c>
      <c r="X49">
        <f t="shared" si="3"/>
        <v>59</v>
      </c>
      <c r="Y49" s="3">
        <f t="shared" si="8"/>
        <v>100</v>
      </c>
      <c r="Z49" s="3">
        <f t="shared" si="9"/>
        <v>0</v>
      </c>
    </row>
    <row r="50" spans="1:26" x14ac:dyDescent="0.2">
      <c r="A50" s="10"/>
      <c r="B50">
        <v>100</v>
      </c>
      <c r="C50" s="15"/>
      <c r="D50" s="11"/>
      <c r="K50">
        <v>6</v>
      </c>
      <c r="L50" t="s">
        <v>79</v>
      </c>
      <c r="M50">
        <v>89</v>
      </c>
      <c r="N50">
        <v>0</v>
      </c>
      <c r="O50">
        <f t="shared" si="13"/>
        <v>89</v>
      </c>
      <c r="P50" s="3">
        <f t="shared" si="14"/>
        <v>100</v>
      </c>
      <c r="Q50" s="3">
        <f t="shared" si="15"/>
        <v>0</v>
      </c>
      <c r="T50">
        <v>6</v>
      </c>
      <c r="U50" t="s">
        <v>79</v>
      </c>
      <c r="V50">
        <v>71</v>
      </c>
      <c r="W50">
        <v>8</v>
      </c>
      <c r="X50">
        <f t="shared" si="3"/>
        <v>79</v>
      </c>
      <c r="Y50" s="3">
        <f t="shared" si="8"/>
        <v>89.87341772151899</v>
      </c>
      <c r="Z50" s="3">
        <f t="shared" si="9"/>
        <v>10.126582278481013</v>
      </c>
    </row>
    <row r="51" spans="1:26" x14ac:dyDescent="0.2">
      <c r="A51" s="10"/>
      <c r="B51">
        <v>0</v>
      </c>
      <c r="C51" s="15"/>
      <c r="D51" s="11"/>
      <c r="K51" s="6">
        <v>7</v>
      </c>
      <c r="L51" t="s">
        <v>79</v>
      </c>
      <c r="M51">
        <v>0</v>
      </c>
      <c r="N51">
        <v>0</v>
      </c>
      <c r="O51">
        <f t="shared" si="13"/>
        <v>0</v>
      </c>
      <c r="P51" s="3">
        <v>0</v>
      </c>
      <c r="Q51" s="3">
        <v>0</v>
      </c>
      <c r="T51">
        <v>7</v>
      </c>
      <c r="U51" t="s">
        <v>79</v>
      </c>
      <c r="V51">
        <v>0</v>
      </c>
      <c r="W51">
        <v>0</v>
      </c>
      <c r="X51">
        <f t="shared" si="3"/>
        <v>0</v>
      </c>
      <c r="Y51" s="3">
        <v>0</v>
      </c>
      <c r="Z51" s="3">
        <v>0</v>
      </c>
    </row>
    <row r="52" spans="1:26" x14ac:dyDescent="0.2">
      <c r="A52" s="10"/>
      <c r="B52">
        <v>100</v>
      </c>
      <c r="C52" s="15"/>
      <c r="D52" s="11"/>
      <c r="K52">
        <v>8</v>
      </c>
      <c r="L52" t="s">
        <v>79</v>
      </c>
      <c r="M52">
        <v>55</v>
      </c>
      <c r="N52">
        <v>0</v>
      </c>
      <c r="O52">
        <f t="shared" si="13"/>
        <v>55</v>
      </c>
      <c r="P52" s="3">
        <f t="shared" si="14"/>
        <v>100</v>
      </c>
      <c r="Q52" s="3">
        <f t="shared" si="15"/>
        <v>0</v>
      </c>
      <c r="T52">
        <v>8</v>
      </c>
      <c r="U52" t="s">
        <v>79</v>
      </c>
      <c r="V52">
        <v>54</v>
      </c>
      <c r="W52">
        <v>1</v>
      </c>
      <c r="X52">
        <f t="shared" si="3"/>
        <v>55</v>
      </c>
      <c r="Y52" s="3">
        <f t="shared" si="8"/>
        <v>98.181818181818187</v>
      </c>
      <c r="Z52" s="3">
        <f t="shared" si="9"/>
        <v>1.8181818181818181</v>
      </c>
    </row>
    <row r="53" spans="1:26" x14ac:dyDescent="0.2">
      <c r="A53" s="10"/>
      <c r="B53">
        <v>100</v>
      </c>
      <c r="C53" s="15"/>
      <c r="D53" s="11"/>
      <c r="K53" s="6">
        <v>9</v>
      </c>
      <c r="L53" t="s">
        <v>79</v>
      </c>
      <c r="M53">
        <v>0</v>
      </c>
      <c r="N53">
        <v>0</v>
      </c>
      <c r="O53">
        <f t="shared" si="13"/>
        <v>0</v>
      </c>
      <c r="P53" s="3">
        <v>0</v>
      </c>
      <c r="Q53" s="3">
        <v>0</v>
      </c>
      <c r="T53">
        <v>9</v>
      </c>
      <c r="U53" t="s">
        <v>79</v>
      </c>
      <c r="V53">
        <v>0</v>
      </c>
      <c r="W53">
        <v>0</v>
      </c>
      <c r="X53">
        <f t="shared" si="3"/>
        <v>0</v>
      </c>
      <c r="Y53" s="3">
        <v>0</v>
      </c>
      <c r="Z53" s="3">
        <v>0</v>
      </c>
    </row>
    <row r="54" spans="1:26" x14ac:dyDescent="0.2">
      <c r="A54" s="10" t="s">
        <v>115</v>
      </c>
      <c r="B54">
        <v>0</v>
      </c>
      <c r="C54" s="15">
        <v>49.117579117579119</v>
      </c>
      <c r="D54" s="11"/>
      <c r="K54">
        <v>10</v>
      </c>
      <c r="L54" t="s">
        <v>79</v>
      </c>
      <c r="M54">
        <v>0</v>
      </c>
      <c r="N54">
        <v>7</v>
      </c>
      <c r="O54">
        <f t="shared" si="13"/>
        <v>7</v>
      </c>
      <c r="P54" s="3">
        <f t="shared" si="14"/>
        <v>0</v>
      </c>
      <c r="Q54" s="3">
        <f t="shared" si="15"/>
        <v>100</v>
      </c>
      <c r="T54">
        <v>10</v>
      </c>
      <c r="U54" t="s">
        <v>79</v>
      </c>
      <c r="V54">
        <v>0</v>
      </c>
      <c r="W54">
        <v>27</v>
      </c>
      <c r="X54">
        <f t="shared" si="3"/>
        <v>27</v>
      </c>
      <c r="Y54" s="3">
        <f t="shared" ref="Y54:Y80" si="16">V54/X54*100</f>
        <v>0</v>
      </c>
      <c r="Z54" s="3">
        <f t="shared" ref="Z54:Z80" si="17">W54/X54*100</f>
        <v>100</v>
      </c>
    </row>
    <row r="55" spans="1:26" x14ac:dyDescent="0.2">
      <c r="A55" s="10"/>
      <c r="B55">
        <v>94.594594594594597</v>
      </c>
      <c r="C55" s="15"/>
      <c r="D55" s="11"/>
      <c r="K55">
        <v>13</v>
      </c>
      <c r="L55" t="s">
        <v>79</v>
      </c>
      <c r="M55">
        <v>9</v>
      </c>
      <c r="N55">
        <v>0</v>
      </c>
      <c r="O55">
        <f t="shared" si="13"/>
        <v>9</v>
      </c>
      <c r="P55" s="3">
        <f t="shared" si="14"/>
        <v>100</v>
      </c>
      <c r="Q55" s="3">
        <f t="shared" si="15"/>
        <v>0</v>
      </c>
      <c r="T55">
        <v>13</v>
      </c>
      <c r="U55" t="s">
        <v>79</v>
      </c>
      <c r="V55">
        <v>81</v>
      </c>
      <c r="W55">
        <v>1</v>
      </c>
      <c r="X55">
        <f t="shared" si="3"/>
        <v>82</v>
      </c>
      <c r="Y55" s="3">
        <f t="shared" si="16"/>
        <v>98.780487804878049</v>
      </c>
      <c r="Z55" s="3">
        <f t="shared" si="17"/>
        <v>1.2195121951219512</v>
      </c>
    </row>
    <row r="56" spans="1:26" x14ac:dyDescent="0.2">
      <c r="A56" s="10"/>
      <c r="B56">
        <v>0</v>
      </c>
      <c r="C56" s="15"/>
      <c r="D56" s="11"/>
      <c r="K56">
        <v>14</v>
      </c>
      <c r="L56" t="s">
        <v>79</v>
      </c>
      <c r="M56">
        <v>41</v>
      </c>
      <c r="N56">
        <v>0</v>
      </c>
      <c r="O56">
        <f t="shared" si="13"/>
        <v>41</v>
      </c>
      <c r="P56" s="3">
        <f t="shared" si="14"/>
        <v>100</v>
      </c>
      <c r="Q56" s="3">
        <f t="shared" si="15"/>
        <v>0</v>
      </c>
      <c r="T56">
        <v>14</v>
      </c>
      <c r="U56" t="s">
        <v>79</v>
      </c>
      <c r="V56">
        <v>33</v>
      </c>
      <c r="W56">
        <v>0</v>
      </c>
      <c r="X56">
        <f t="shared" si="3"/>
        <v>33</v>
      </c>
      <c r="Y56" s="3">
        <f t="shared" si="16"/>
        <v>100</v>
      </c>
      <c r="Z56" s="3">
        <f t="shared" si="17"/>
        <v>0</v>
      </c>
    </row>
    <row r="57" spans="1:26" x14ac:dyDescent="0.2">
      <c r="A57" s="10"/>
      <c r="B57">
        <v>100</v>
      </c>
      <c r="C57" s="15"/>
      <c r="D57" s="11"/>
      <c r="K57" s="6">
        <v>15</v>
      </c>
      <c r="L57" t="s">
        <v>79</v>
      </c>
      <c r="M57">
        <v>0</v>
      </c>
      <c r="N57">
        <v>0</v>
      </c>
      <c r="O57">
        <f t="shared" si="13"/>
        <v>0</v>
      </c>
      <c r="P57" s="3">
        <v>0</v>
      </c>
      <c r="Q57" s="3">
        <v>0</v>
      </c>
      <c r="T57">
        <v>15</v>
      </c>
      <c r="U57" t="s">
        <v>79</v>
      </c>
      <c r="V57">
        <v>0</v>
      </c>
      <c r="W57">
        <v>0</v>
      </c>
      <c r="X57">
        <f t="shared" si="3"/>
        <v>0</v>
      </c>
      <c r="Y57" s="3">
        <v>0</v>
      </c>
      <c r="Z57" s="3">
        <v>0</v>
      </c>
    </row>
    <row r="58" spans="1:26" x14ac:dyDescent="0.2">
      <c r="A58" s="10"/>
      <c r="B58">
        <v>0</v>
      </c>
      <c r="C58" s="15"/>
      <c r="D58" s="11"/>
      <c r="K58">
        <v>17</v>
      </c>
      <c r="L58" t="s">
        <v>79</v>
      </c>
      <c r="M58">
        <v>76</v>
      </c>
      <c r="N58">
        <v>0</v>
      </c>
      <c r="O58">
        <f t="shared" si="13"/>
        <v>76</v>
      </c>
      <c r="P58" s="3">
        <f t="shared" si="14"/>
        <v>100</v>
      </c>
      <c r="Q58" s="3">
        <f t="shared" si="15"/>
        <v>0</v>
      </c>
      <c r="T58">
        <v>17</v>
      </c>
      <c r="U58" t="s">
        <v>79</v>
      </c>
      <c r="V58">
        <v>51</v>
      </c>
      <c r="W58">
        <v>3</v>
      </c>
      <c r="X58">
        <f t="shared" si="3"/>
        <v>54</v>
      </c>
      <c r="Y58" s="3">
        <f t="shared" si="16"/>
        <v>94.444444444444443</v>
      </c>
      <c r="Z58" s="3">
        <f t="shared" si="17"/>
        <v>5.5555555555555554</v>
      </c>
    </row>
    <row r="59" spans="1:26" x14ac:dyDescent="0.2">
      <c r="A59" s="10"/>
      <c r="B59">
        <v>100</v>
      </c>
      <c r="C59" s="15"/>
      <c r="D59" s="11"/>
      <c r="K59">
        <v>19</v>
      </c>
      <c r="L59" t="s">
        <v>79</v>
      </c>
      <c r="M59">
        <v>82</v>
      </c>
      <c r="N59">
        <v>0</v>
      </c>
      <c r="O59">
        <f t="shared" si="13"/>
        <v>82</v>
      </c>
      <c r="P59" s="3">
        <f t="shared" si="14"/>
        <v>100</v>
      </c>
      <c r="Q59" s="3">
        <f t="shared" si="15"/>
        <v>0</v>
      </c>
      <c r="T59">
        <v>19</v>
      </c>
      <c r="U59" t="s">
        <v>79</v>
      </c>
      <c r="V59">
        <v>65</v>
      </c>
      <c r="W59">
        <v>4</v>
      </c>
      <c r="X59">
        <f t="shared" si="3"/>
        <v>69</v>
      </c>
      <c r="Y59" s="3">
        <f t="shared" si="16"/>
        <v>94.20289855072464</v>
      </c>
      <c r="Z59" s="3">
        <f t="shared" si="17"/>
        <v>5.7971014492753623</v>
      </c>
    </row>
    <row r="60" spans="1:26" x14ac:dyDescent="0.2">
      <c r="A60" s="10"/>
      <c r="B60">
        <v>0</v>
      </c>
      <c r="C60" s="15"/>
      <c r="D60" s="11"/>
      <c r="K60">
        <v>20</v>
      </c>
      <c r="L60" t="s">
        <v>79</v>
      </c>
      <c r="M60">
        <v>60</v>
      </c>
      <c r="N60">
        <v>0</v>
      </c>
      <c r="O60">
        <f t="shared" si="13"/>
        <v>60</v>
      </c>
      <c r="P60" s="3">
        <f t="shared" si="14"/>
        <v>100</v>
      </c>
      <c r="Q60" s="3">
        <f t="shared" si="15"/>
        <v>0</v>
      </c>
      <c r="T60">
        <v>20</v>
      </c>
      <c r="U60" t="s">
        <v>79</v>
      </c>
      <c r="V60">
        <v>86</v>
      </c>
      <c r="W60">
        <v>0</v>
      </c>
      <c r="X60">
        <f t="shared" si="3"/>
        <v>86</v>
      </c>
      <c r="Y60" s="3">
        <f t="shared" si="16"/>
        <v>100</v>
      </c>
      <c r="Z60" s="3">
        <f t="shared" si="17"/>
        <v>0</v>
      </c>
    </row>
    <row r="61" spans="1:26" x14ac:dyDescent="0.2">
      <c r="A61" s="10"/>
      <c r="B61">
        <v>0</v>
      </c>
      <c r="C61" s="15"/>
      <c r="D61" s="11"/>
      <c r="K61">
        <v>1</v>
      </c>
      <c r="L61" t="s">
        <v>97</v>
      </c>
      <c r="M61">
        <v>48</v>
      </c>
      <c r="N61">
        <v>0</v>
      </c>
      <c r="O61">
        <f t="shared" si="13"/>
        <v>48</v>
      </c>
      <c r="P61" s="3">
        <f t="shared" si="14"/>
        <v>100</v>
      </c>
      <c r="Q61" s="3">
        <f t="shared" si="15"/>
        <v>0</v>
      </c>
      <c r="T61">
        <v>1</v>
      </c>
      <c r="U61" t="s">
        <v>97</v>
      </c>
      <c r="V61">
        <v>40</v>
      </c>
      <c r="W61">
        <v>0</v>
      </c>
      <c r="X61">
        <f t="shared" si="3"/>
        <v>40</v>
      </c>
      <c r="Y61" s="3">
        <f t="shared" si="16"/>
        <v>100</v>
      </c>
      <c r="Z61" s="3">
        <f t="shared" si="17"/>
        <v>0</v>
      </c>
    </row>
    <row r="62" spans="1:26" x14ac:dyDescent="0.2">
      <c r="A62" s="10"/>
      <c r="B62">
        <v>100</v>
      </c>
      <c r="C62" s="15"/>
      <c r="D62" s="11"/>
      <c r="K62" s="6">
        <v>2</v>
      </c>
      <c r="L62" t="s">
        <v>97</v>
      </c>
      <c r="M62">
        <v>0</v>
      </c>
      <c r="N62">
        <v>0</v>
      </c>
      <c r="O62">
        <f>M62+N62</f>
        <v>0</v>
      </c>
      <c r="P62" s="3">
        <v>0</v>
      </c>
      <c r="Q62" s="3">
        <v>0</v>
      </c>
      <c r="T62">
        <v>2</v>
      </c>
      <c r="U62" t="s">
        <v>97</v>
      </c>
      <c r="V62">
        <v>0</v>
      </c>
      <c r="W62">
        <v>0</v>
      </c>
      <c r="X62">
        <f>V62+W62</f>
        <v>0</v>
      </c>
      <c r="Y62" s="3">
        <v>0</v>
      </c>
      <c r="Z62" s="3">
        <v>0</v>
      </c>
    </row>
    <row r="63" spans="1:26" x14ac:dyDescent="0.2">
      <c r="A63" s="12"/>
      <c r="B63" s="13">
        <v>96.581196581196579</v>
      </c>
      <c r="C63" s="20"/>
      <c r="D63" s="14"/>
      <c r="K63" s="6">
        <v>3</v>
      </c>
      <c r="L63" t="s">
        <v>97</v>
      </c>
      <c r="M63">
        <v>0</v>
      </c>
      <c r="N63">
        <v>0</v>
      </c>
      <c r="O63">
        <f t="shared" ref="O63:O70" si="18">M63+N63</f>
        <v>0</v>
      </c>
      <c r="P63" s="3">
        <v>0</v>
      </c>
      <c r="Q63" s="3">
        <v>0</v>
      </c>
      <c r="T63">
        <v>3</v>
      </c>
      <c r="U63" t="s">
        <v>97</v>
      </c>
      <c r="V63">
        <v>0</v>
      </c>
      <c r="W63">
        <v>0</v>
      </c>
      <c r="X63">
        <f t="shared" si="3"/>
        <v>0</v>
      </c>
      <c r="Y63" s="3">
        <v>0</v>
      </c>
      <c r="Z63" s="3">
        <v>0</v>
      </c>
    </row>
    <row r="64" spans="1:26" x14ac:dyDescent="0.2">
      <c r="K64" s="6">
        <v>4</v>
      </c>
      <c r="L64" t="s">
        <v>97</v>
      </c>
      <c r="M64">
        <v>0</v>
      </c>
      <c r="N64">
        <v>0</v>
      </c>
      <c r="O64">
        <f t="shared" si="18"/>
        <v>0</v>
      </c>
      <c r="P64" s="3">
        <v>0</v>
      </c>
      <c r="Q64" s="3">
        <v>0</v>
      </c>
      <c r="T64">
        <v>4</v>
      </c>
      <c r="U64" t="s">
        <v>97</v>
      </c>
      <c r="V64">
        <v>0</v>
      </c>
      <c r="W64">
        <v>0</v>
      </c>
      <c r="X64">
        <f t="shared" si="3"/>
        <v>0</v>
      </c>
      <c r="Y64" s="3">
        <v>0</v>
      </c>
      <c r="Z64" s="3">
        <v>0</v>
      </c>
    </row>
    <row r="65" spans="11:26" x14ac:dyDescent="0.2">
      <c r="K65">
        <v>5</v>
      </c>
      <c r="L65" t="s">
        <v>97</v>
      </c>
      <c r="M65">
        <v>34</v>
      </c>
      <c r="N65">
        <v>0</v>
      </c>
      <c r="O65">
        <f t="shared" si="18"/>
        <v>34</v>
      </c>
      <c r="P65" s="3">
        <f t="shared" ref="P65:P70" si="19">M65/O65*100</f>
        <v>100</v>
      </c>
      <c r="Q65" s="3">
        <f t="shared" ref="Q65:Q70" si="20">N65/O65*100</f>
        <v>0</v>
      </c>
      <c r="T65">
        <v>5</v>
      </c>
      <c r="U65" t="s">
        <v>97</v>
      </c>
      <c r="V65">
        <v>100</v>
      </c>
      <c r="W65">
        <v>0</v>
      </c>
      <c r="X65">
        <f t="shared" si="3"/>
        <v>100</v>
      </c>
      <c r="Y65" s="3">
        <f t="shared" si="16"/>
        <v>100</v>
      </c>
      <c r="Z65" s="3">
        <f t="shared" si="17"/>
        <v>0</v>
      </c>
    </row>
    <row r="66" spans="11:26" x14ac:dyDescent="0.2">
      <c r="K66" s="6">
        <v>6</v>
      </c>
      <c r="L66" t="s">
        <v>97</v>
      </c>
      <c r="M66">
        <v>0</v>
      </c>
      <c r="N66">
        <v>0</v>
      </c>
      <c r="O66">
        <f t="shared" si="18"/>
        <v>0</v>
      </c>
      <c r="P66" s="3">
        <v>0</v>
      </c>
      <c r="Q66" s="3">
        <v>0</v>
      </c>
      <c r="T66">
        <v>6</v>
      </c>
      <c r="U66" t="s">
        <v>97</v>
      </c>
      <c r="V66">
        <v>0</v>
      </c>
      <c r="W66">
        <v>0</v>
      </c>
      <c r="X66">
        <f t="shared" si="3"/>
        <v>0</v>
      </c>
      <c r="Y66" s="3">
        <v>0</v>
      </c>
      <c r="Z66" s="3">
        <v>0</v>
      </c>
    </row>
    <row r="67" spans="11:26" x14ac:dyDescent="0.2">
      <c r="K67">
        <v>7</v>
      </c>
      <c r="L67" t="s">
        <v>97</v>
      </c>
      <c r="M67">
        <v>62</v>
      </c>
      <c r="N67">
        <v>0</v>
      </c>
      <c r="O67">
        <f t="shared" si="18"/>
        <v>62</v>
      </c>
      <c r="P67" s="3">
        <f t="shared" si="19"/>
        <v>100</v>
      </c>
      <c r="Q67" s="3">
        <f t="shared" si="20"/>
        <v>0</v>
      </c>
      <c r="T67">
        <v>7</v>
      </c>
      <c r="U67" t="s">
        <v>97</v>
      </c>
      <c r="V67">
        <v>93</v>
      </c>
      <c r="W67">
        <v>0</v>
      </c>
      <c r="X67">
        <f t="shared" si="3"/>
        <v>93</v>
      </c>
      <c r="Y67" s="3">
        <f t="shared" si="16"/>
        <v>100</v>
      </c>
      <c r="Z67" s="3">
        <f t="shared" si="17"/>
        <v>0</v>
      </c>
    </row>
    <row r="68" spans="11:26" x14ac:dyDescent="0.2">
      <c r="K68">
        <v>8</v>
      </c>
      <c r="L68" t="s">
        <v>97</v>
      </c>
      <c r="M68">
        <v>54</v>
      </c>
      <c r="N68">
        <v>0</v>
      </c>
      <c r="O68">
        <f t="shared" si="18"/>
        <v>54</v>
      </c>
      <c r="P68" s="3">
        <f t="shared" si="19"/>
        <v>100</v>
      </c>
      <c r="Q68" s="3">
        <f t="shared" si="20"/>
        <v>0</v>
      </c>
      <c r="T68">
        <v>8</v>
      </c>
      <c r="U68" t="s">
        <v>97</v>
      </c>
      <c r="V68">
        <v>41</v>
      </c>
      <c r="W68">
        <v>0</v>
      </c>
      <c r="X68">
        <f t="shared" si="3"/>
        <v>41</v>
      </c>
      <c r="Y68" s="3">
        <f t="shared" si="16"/>
        <v>100</v>
      </c>
      <c r="Z68" s="3">
        <f t="shared" si="17"/>
        <v>0</v>
      </c>
    </row>
    <row r="69" spans="11:26" x14ac:dyDescent="0.2">
      <c r="K69">
        <v>9</v>
      </c>
      <c r="L69" t="s">
        <v>97</v>
      </c>
      <c r="M69">
        <v>92</v>
      </c>
      <c r="N69">
        <v>0</v>
      </c>
      <c r="O69">
        <f t="shared" si="18"/>
        <v>92</v>
      </c>
      <c r="P69" s="3">
        <f t="shared" si="19"/>
        <v>100</v>
      </c>
      <c r="Q69" s="3">
        <f t="shared" si="20"/>
        <v>0</v>
      </c>
      <c r="T69">
        <v>9</v>
      </c>
      <c r="U69" t="s">
        <v>97</v>
      </c>
      <c r="V69">
        <v>78</v>
      </c>
      <c r="W69">
        <v>0</v>
      </c>
      <c r="X69">
        <f t="shared" si="3"/>
        <v>78</v>
      </c>
      <c r="Y69" s="3">
        <f t="shared" si="16"/>
        <v>100</v>
      </c>
      <c r="Z69" s="3">
        <f t="shared" si="17"/>
        <v>0</v>
      </c>
    </row>
    <row r="70" spans="11:26" x14ac:dyDescent="0.2">
      <c r="K70" s="6">
        <v>10</v>
      </c>
      <c r="L70" t="s">
        <v>97</v>
      </c>
      <c r="M70">
        <v>0</v>
      </c>
      <c r="N70">
        <v>1</v>
      </c>
      <c r="O70">
        <f t="shared" si="18"/>
        <v>1</v>
      </c>
      <c r="P70" s="3">
        <f t="shared" si="19"/>
        <v>0</v>
      </c>
      <c r="Q70" s="3">
        <f t="shared" si="20"/>
        <v>100</v>
      </c>
      <c r="T70">
        <v>10</v>
      </c>
      <c r="U70" t="s">
        <v>97</v>
      </c>
      <c r="V70">
        <v>0</v>
      </c>
      <c r="W70">
        <v>0</v>
      </c>
      <c r="X70">
        <f t="shared" si="3"/>
        <v>0</v>
      </c>
      <c r="Y70" s="3">
        <v>0</v>
      </c>
      <c r="Z70" s="3">
        <v>0</v>
      </c>
    </row>
    <row r="71" spans="11:26" x14ac:dyDescent="0.2">
      <c r="K71" s="6">
        <v>11</v>
      </c>
      <c r="L71" t="s">
        <v>97</v>
      </c>
      <c r="M71">
        <v>0</v>
      </c>
      <c r="N71">
        <v>0</v>
      </c>
      <c r="O71">
        <f>M71+N71</f>
        <v>0</v>
      </c>
      <c r="P71" s="3">
        <v>0</v>
      </c>
      <c r="Q71" s="3">
        <v>0</v>
      </c>
      <c r="T71">
        <v>11</v>
      </c>
      <c r="U71" t="s">
        <v>97</v>
      </c>
      <c r="V71">
        <v>0</v>
      </c>
      <c r="W71">
        <v>0</v>
      </c>
      <c r="X71">
        <f t="shared" si="3"/>
        <v>0</v>
      </c>
      <c r="Y71" s="3">
        <v>0</v>
      </c>
      <c r="Z71" s="3">
        <v>0</v>
      </c>
    </row>
    <row r="72" spans="11:26" x14ac:dyDescent="0.2">
      <c r="K72" s="6">
        <v>12</v>
      </c>
      <c r="L72" t="s">
        <v>97</v>
      </c>
      <c r="M72">
        <v>0</v>
      </c>
      <c r="N72">
        <v>0</v>
      </c>
      <c r="O72">
        <f t="shared" ref="O72:O80" si="21">M72+N72</f>
        <v>0</v>
      </c>
      <c r="P72" s="3">
        <v>0</v>
      </c>
      <c r="Q72" s="3">
        <v>0</v>
      </c>
      <c r="T72">
        <v>12</v>
      </c>
      <c r="U72" t="s">
        <v>97</v>
      </c>
      <c r="V72">
        <v>0</v>
      </c>
      <c r="W72">
        <v>0</v>
      </c>
      <c r="X72">
        <f t="shared" si="3"/>
        <v>0</v>
      </c>
      <c r="Y72" s="3">
        <v>0</v>
      </c>
      <c r="Z72" s="3">
        <v>0</v>
      </c>
    </row>
    <row r="73" spans="11:26" x14ac:dyDescent="0.2">
      <c r="K73">
        <v>13</v>
      </c>
      <c r="L73" t="s">
        <v>97</v>
      </c>
      <c r="M73">
        <v>73</v>
      </c>
      <c r="N73">
        <v>0</v>
      </c>
      <c r="O73">
        <f t="shared" si="21"/>
        <v>73</v>
      </c>
      <c r="P73" s="3">
        <f t="shared" ref="P73:P80" si="22">M73/O73*100</f>
        <v>100</v>
      </c>
      <c r="Q73" s="3">
        <f t="shared" ref="Q73:Q80" si="23">N73/O73*100</f>
        <v>0</v>
      </c>
      <c r="T73">
        <v>13</v>
      </c>
      <c r="U73" t="s">
        <v>97</v>
      </c>
      <c r="V73">
        <v>95</v>
      </c>
      <c r="W73">
        <v>0</v>
      </c>
      <c r="X73">
        <f t="shared" ref="X73:X100" si="24">V73+W73</f>
        <v>95</v>
      </c>
      <c r="Y73" s="3">
        <f t="shared" si="16"/>
        <v>100</v>
      </c>
      <c r="Z73" s="3">
        <f t="shared" si="17"/>
        <v>0</v>
      </c>
    </row>
    <row r="74" spans="11:26" x14ac:dyDescent="0.2">
      <c r="K74" s="6">
        <v>14</v>
      </c>
      <c r="L74" t="s">
        <v>97</v>
      </c>
      <c r="M74">
        <v>0</v>
      </c>
      <c r="N74">
        <v>0</v>
      </c>
      <c r="O74">
        <f t="shared" si="21"/>
        <v>0</v>
      </c>
      <c r="P74" s="3">
        <v>0</v>
      </c>
      <c r="Q74" s="3">
        <v>0</v>
      </c>
      <c r="T74">
        <v>14</v>
      </c>
      <c r="U74" t="s">
        <v>97</v>
      </c>
      <c r="V74">
        <v>0</v>
      </c>
      <c r="W74">
        <v>0</v>
      </c>
      <c r="X74">
        <f t="shared" si="24"/>
        <v>0</v>
      </c>
      <c r="Y74" s="3">
        <v>0</v>
      </c>
      <c r="Z74" s="3">
        <v>0</v>
      </c>
    </row>
    <row r="75" spans="11:26" x14ac:dyDescent="0.2">
      <c r="K75" s="6">
        <v>15</v>
      </c>
      <c r="L75" t="s">
        <v>97</v>
      </c>
      <c r="M75">
        <v>0</v>
      </c>
      <c r="N75">
        <v>0</v>
      </c>
      <c r="O75">
        <f t="shared" si="21"/>
        <v>0</v>
      </c>
      <c r="P75" s="3">
        <v>0</v>
      </c>
      <c r="Q75" s="3">
        <v>0</v>
      </c>
      <c r="T75">
        <v>15</v>
      </c>
      <c r="U75" t="s">
        <v>97</v>
      </c>
      <c r="V75">
        <v>0</v>
      </c>
      <c r="W75">
        <v>0</v>
      </c>
      <c r="X75">
        <f t="shared" si="24"/>
        <v>0</v>
      </c>
      <c r="Y75" s="3">
        <v>0</v>
      </c>
      <c r="Z75" s="3">
        <v>0</v>
      </c>
    </row>
    <row r="76" spans="11:26" x14ac:dyDescent="0.2">
      <c r="K76">
        <v>16</v>
      </c>
      <c r="L76" t="s">
        <v>97</v>
      </c>
      <c r="M76">
        <v>0</v>
      </c>
      <c r="N76">
        <v>6</v>
      </c>
      <c r="O76">
        <f t="shared" si="21"/>
        <v>6</v>
      </c>
      <c r="P76" s="3">
        <f t="shared" si="22"/>
        <v>0</v>
      </c>
      <c r="Q76" s="3">
        <f t="shared" si="23"/>
        <v>100</v>
      </c>
      <c r="T76">
        <v>16</v>
      </c>
      <c r="U76" t="s">
        <v>97</v>
      </c>
      <c r="V76">
        <v>0</v>
      </c>
      <c r="W76">
        <v>7</v>
      </c>
      <c r="X76">
        <f t="shared" si="24"/>
        <v>7</v>
      </c>
      <c r="Y76" s="3">
        <f t="shared" si="16"/>
        <v>0</v>
      </c>
      <c r="Z76" s="3">
        <f t="shared" si="17"/>
        <v>100</v>
      </c>
    </row>
    <row r="77" spans="11:26" x14ac:dyDescent="0.2">
      <c r="K77">
        <v>17</v>
      </c>
      <c r="L77" t="s">
        <v>97</v>
      </c>
      <c r="M77">
        <v>82</v>
      </c>
      <c r="N77">
        <v>0</v>
      </c>
      <c r="O77">
        <f t="shared" si="21"/>
        <v>82</v>
      </c>
      <c r="P77" s="3">
        <f t="shared" si="22"/>
        <v>100</v>
      </c>
      <c r="Q77" s="3">
        <f t="shared" si="23"/>
        <v>0</v>
      </c>
      <c r="T77">
        <v>17</v>
      </c>
      <c r="U77" t="s">
        <v>97</v>
      </c>
      <c r="V77">
        <v>105</v>
      </c>
      <c r="W77">
        <v>0</v>
      </c>
      <c r="X77">
        <f t="shared" si="24"/>
        <v>105</v>
      </c>
      <c r="Y77" s="3">
        <f t="shared" si="16"/>
        <v>100</v>
      </c>
      <c r="Z77" s="3">
        <f t="shared" si="17"/>
        <v>0</v>
      </c>
    </row>
    <row r="78" spans="11:26" x14ac:dyDescent="0.2">
      <c r="K78">
        <v>18</v>
      </c>
      <c r="L78" t="s">
        <v>97</v>
      </c>
      <c r="M78">
        <v>0</v>
      </c>
      <c r="N78">
        <v>21</v>
      </c>
      <c r="O78">
        <f t="shared" si="21"/>
        <v>21</v>
      </c>
      <c r="P78" s="3">
        <f t="shared" si="22"/>
        <v>0</v>
      </c>
      <c r="Q78" s="3">
        <f t="shared" si="23"/>
        <v>100</v>
      </c>
      <c r="T78">
        <v>18</v>
      </c>
      <c r="U78" t="s">
        <v>97</v>
      </c>
      <c r="V78">
        <v>0</v>
      </c>
      <c r="W78">
        <v>13</v>
      </c>
      <c r="X78">
        <f t="shared" si="24"/>
        <v>13</v>
      </c>
      <c r="Y78" s="3">
        <f t="shared" si="16"/>
        <v>0</v>
      </c>
      <c r="Z78" s="3">
        <f t="shared" si="17"/>
        <v>100</v>
      </c>
    </row>
    <row r="79" spans="11:26" x14ac:dyDescent="0.2">
      <c r="K79">
        <v>19</v>
      </c>
      <c r="L79" t="s">
        <v>97</v>
      </c>
      <c r="M79">
        <v>74</v>
      </c>
      <c r="N79">
        <v>0</v>
      </c>
      <c r="O79">
        <f t="shared" si="21"/>
        <v>74</v>
      </c>
      <c r="P79" s="3">
        <f t="shared" si="22"/>
        <v>100</v>
      </c>
      <c r="Q79" s="3">
        <f t="shared" si="23"/>
        <v>0</v>
      </c>
      <c r="T79">
        <v>19</v>
      </c>
      <c r="U79" t="s">
        <v>97</v>
      </c>
      <c r="V79">
        <v>93</v>
      </c>
      <c r="W79">
        <v>0</v>
      </c>
      <c r="X79">
        <f t="shared" si="24"/>
        <v>93</v>
      </c>
      <c r="Y79" s="3">
        <f t="shared" si="16"/>
        <v>100</v>
      </c>
      <c r="Z79" s="3">
        <f t="shared" si="17"/>
        <v>0</v>
      </c>
    </row>
    <row r="80" spans="11:26" x14ac:dyDescent="0.2">
      <c r="K80">
        <v>20</v>
      </c>
      <c r="L80" t="s">
        <v>97</v>
      </c>
      <c r="M80">
        <v>71</v>
      </c>
      <c r="N80">
        <v>0</v>
      </c>
      <c r="O80">
        <f t="shared" si="21"/>
        <v>71</v>
      </c>
      <c r="P80" s="3">
        <f t="shared" si="22"/>
        <v>100</v>
      </c>
      <c r="Q80" s="3">
        <f t="shared" si="23"/>
        <v>0</v>
      </c>
      <c r="T80">
        <v>20</v>
      </c>
      <c r="U80" t="s">
        <v>97</v>
      </c>
      <c r="V80">
        <v>83</v>
      </c>
      <c r="W80">
        <v>0</v>
      </c>
      <c r="X80">
        <f t="shared" si="24"/>
        <v>83</v>
      </c>
      <c r="Y80" s="3">
        <f t="shared" si="16"/>
        <v>100</v>
      </c>
      <c r="Z80" s="3">
        <f t="shared" si="17"/>
        <v>0</v>
      </c>
    </row>
    <row r="81" spans="11:26" x14ac:dyDescent="0.2">
      <c r="K81" s="6">
        <v>1</v>
      </c>
      <c r="L81" t="s">
        <v>115</v>
      </c>
      <c r="M81">
        <v>0</v>
      </c>
      <c r="N81">
        <v>8</v>
      </c>
      <c r="O81">
        <f>M81+N81</f>
        <v>8</v>
      </c>
      <c r="P81" s="3">
        <f>M81/O81*100</f>
        <v>0</v>
      </c>
      <c r="Q81" s="3">
        <f>N81/O81*100</f>
        <v>100</v>
      </c>
      <c r="T81">
        <v>1</v>
      </c>
      <c r="U81" t="s">
        <v>115</v>
      </c>
      <c r="V81">
        <v>0</v>
      </c>
      <c r="W81">
        <v>0</v>
      </c>
      <c r="X81">
        <f t="shared" si="24"/>
        <v>0</v>
      </c>
      <c r="Y81" s="3">
        <v>0</v>
      </c>
      <c r="Z81" s="3">
        <v>0</v>
      </c>
    </row>
    <row r="82" spans="11:26" x14ac:dyDescent="0.2">
      <c r="K82" s="6">
        <v>2</v>
      </c>
      <c r="L82" t="s">
        <v>115</v>
      </c>
      <c r="M82">
        <v>0</v>
      </c>
      <c r="N82">
        <v>0</v>
      </c>
      <c r="O82">
        <f t="shared" ref="O82:O100" si="25">M82+N82</f>
        <v>0</v>
      </c>
      <c r="P82" s="3">
        <v>0</v>
      </c>
      <c r="Q82" s="3">
        <v>0</v>
      </c>
      <c r="T82">
        <v>2</v>
      </c>
      <c r="U82" t="s">
        <v>115</v>
      </c>
      <c r="V82">
        <v>0</v>
      </c>
      <c r="W82">
        <v>0</v>
      </c>
      <c r="X82">
        <f t="shared" si="24"/>
        <v>0</v>
      </c>
      <c r="Y82" s="3">
        <v>0</v>
      </c>
      <c r="Z82" s="3">
        <v>0</v>
      </c>
    </row>
    <row r="83" spans="11:26" x14ac:dyDescent="0.2">
      <c r="K83" s="6">
        <v>3</v>
      </c>
      <c r="L83" t="s">
        <v>115</v>
      </c>
      <c r="M83">
        <v>0</v>
      </c>
      <c r="N83">
        <v>24</v>
      </c>
      <c r="O83">
        <f t="shared" si="25"/>
        <v>24</v>
      </c>
      <c r="P83" s="3">
        <f t="shared" ref="P83:P100" si="26">M83/O83*100</f>
        <v>0</v>
      </c>
      <c r="Q83" s="3">
        <f t="shared" ref="Q83:Q100" si="27">N83/O83*100</f>
        <v>100</v>
      </c>
      <c r="T83">
        <v>3</v>
      </c>
      <c r="U83" t="s">
        <v>115</v>
      </c>
      <c r="V83">
        <v>0</v>
      </c>
      <c r="W83">
        <v>0</v>
      </c>
      <c r="X83">
        <f t="shared" si="24"/>
        <v>0</v>
      </c>
      <c r="Y83" s="3">
        <v>0</v>
      </c>
      <c r="Z83" s="3">
        <v>0</v>
      </c>
    </row>
    <row r="84" spans="11:26" x14ac:dyDescent="0.2">
      <c r="K84">
        <v>4</v>
      </c>
      <c r="L84" t="s">
        <v>115</v>
      </c>
      <c r="M84">
        <v>0</v>
      </c>
      <c r="N84">
        <v>3</v>
      </c>
      <c r="O84">
        <f t="shared" si="25"/>
        <v>3</v>
      </c>
      <c r="P84" s="3">
        <f t="shared" si="26"/>
        <v>0</v>
      </c>
      <c r="Q84" s="3">
        <f t="shared" si="27"/>
        <v>100</v>
      </c>
      <c r="T84">
        <v>4</v>
      </c>
      <c r="U84" t="s">
        <v>115</v>
      </c>
      <c r="V84">
        <v>0</v>
      </c>
      <c r="W84">
        <v>1</v>
      </c>
      <c r="X84">
        <f t="shared" si="24"/>
        <v>1</v>
      </c>
      <c r="Y84" s="3">
        <f t="shared" ref="Y84:Y100" si="28">V84/X84*100</f>
        <v>0</v>
      </c>
      <c r="Z84" s="3">
        <f t="shared" ref="Z84:Z100" si="29">W84/X84*100</f>
        <v>100</v>
      </c>
    </row>
    <row r="85" spans="11:26" x14ac:dyDescent="0.2">
      <c r="K85" s="6">
        <v>5</v>
      </c>
      <c r="L85" t="s">
        <v>115</v>
      </c>
      <c r="M85">
        <v>35</v>
      </c>
      <c r="N85">
        <v>2</v>
      </c>
      <c r="O85">
        <f t="shared" si="25"/>
        <v>37</v>
      </c>
      <c r="P85" s="3">
        <f t="shared" si="26"/>
        <v>94.594594594594597</v>
      </c>
      <c r="Q85" s="3">
        <f t="shared" si="27"/>
        <v>5.4054054054054053</v>
      </c>
      <c r="T85">
        <v>5</v>
      </c>
      <c r="U85" t="s">
        <v>115</v>
      </c>
      <c r="V85">
        <v>0</v>
      </c>
      <c r="W85">
        <v>0</v>
      </c>
      <c r="X85">
        <f t="shared" si="24"/>
        <v>0</v>
      </c>
      <c r="Y85" s="3">
        <v>0</v>
      </c>
      <c r="Z85" s="3">
        <v>0</v>
      </c>
    </row>
    <row r="86" spans="11:26" x14ac:dyDescent="0.2">
      <c r="K86">
        <v>6</v>
      </c>
      <c r="L86" t="s">
        <v>115</v>
      </c>
      <c r="M86">
        <v>0</v>
      </c>
      <c r="N86">
        <v>10</v>
      </c>
      <c r="O86">
        <f t="shared" si="25"/>
        <v>10</v>
      </c>
      <c r="P86" s="3">
        <f t="shared" si="26"/>
        <v>0</v>
      </c>
      <c r="Q86" s="3">
        <f t="shared" si="27"/>
        <v>100</v>
      </c>
      <c r="T86">
        <v>6</v>
      </c>
      <c r="U86" t="s">
        <v>115</v>
      </c>
      <c r="V86">
        <v>0</v>
      </c>
      <c r="W86">
        <v>9</v>
      </c>
      <c r="X86">
        <f t="shared" si="24"/>
        <v>9</v>
      </c>
      <c r="Y86" s="3">
        <f t="shared" si="28"/>
        <v>0</v>
      </c>
      <c r="Z86" s="3">
        <f t="shared" si="29"/>
        <v>100</v>
      </c>
    </row>
    <row r="87" spans="11:26" x14ac:dyDescent="0.2">
      <c r="K87">
        <v>7</v>
      </c>
      <c r="L87" t="s">
        <v>115</v>
      </c>
      <c r="M87">
        <v>68</v>
      </c>
      <c r="N87">
        <v>0</v>
      </c>
      <c r="O87">
        <f t="shared" si="25"/>
        <v>68</v>
      </c>
      <c r="P87" s="3">
        <f t="shared" si="26"/>
        <v>100</v>
      </c>
      <c r="Q87" s="3">
        <f t="shared" si="27"/>
        <v>0</v>
      </c>
      <c r="T87">
        <v>7</v>
      </c>
      <c r="U87" t="s">
        <v>115</v>
      </c>
      <c r="V87">
        <v>54</v>
      </c>
      <c r="W87">
        <v>0</v>
      </c>
      <c r="X87">
        <f t="shared" si="24"/>
        <v>54</v>
      </c>
      <c r="Y87" s="3">
        <f t="shared" si="28"/>
        <v>100</v>
      </c>
      <c r="Z87" s="3">
        <f t="shared" si="29"/>
        <v>0</v>
      </c>
    </row>
    <row r="88" spans="11:26" x14ac:dyDescent="0.2">
      <c r="K88" s="6">
        <v>8</v>
      </c>
      <c r="L88" t="s">
        <v>115</v>
      </c>
      <c r="M88">
        <v>0</v>
      </c>
      <c r="N88">
        <v>0</v>
      </c>
      <c r="O88">
        <f t="shared" si="25"/>
        <v>0</v>
      </c>
      <c r="P88" s="3">
        <v>0</v>
      </c>
      <c r="Q88" s="3">
        <v>0</v>
      </c>
      <c r="T88">
        <v>8</v>
      </c>
      <c r="U88" t="s">
        <v>115</v>
      </c>
      <c r="V88">
        <v>0</v>
      </c>
      <c r="W88">
        <v>0</v>
      </c>
      <c r="X88">
        <f t="shared" si="24"/>
        <v>0</v>
      </c>
      <c r="Y88" s="3">
        <v>0</v>
      </c>
      <c r="Z88" s="3">
        <v>0</v>
      </c>
    </row>
    <row r="89" spans="11:26" x14ac:dyDescent="0.2">
      <c r="K89">
        <v>9</v>
      </c>
      <c r="L89" t="s">
        <v>115</v>
      </c>
      <c r="M89">
        <v>86</v>
      </c>
      <c r="N89">
        <v>0</v>
      </c>
      <c r="O89">
        <f t="shared" si="25"/>
        <v>86</v>
      </c>
      <c r="P89" s="3">
        <f t="shared" si="26"/>
        <v>100</v>
      </c>
      <c r="Q89" s="3">
        <f t="shared" si="27"/>
        <v>0</v>
      </c>
      <c r="T89">
        <v>9</v>
      </c>
      <c r="U89" t="s">
        <v>115</v>
      </c>
      <c r="V89">
        <v>36</v>
      </c>
      <c r="W89">
        <v>0</v>
      </c>
      <c r="X89">
        <f t="shared" si="24"/>
        <v>36</v>
      </c>
      <c r="Y89" s="3">
        <f t="shared" si="28"/>
        <v>100</v>
      </c>
      <c r="Z89" s="3">
        <f t="shared" si="29"/>
        <v>0</v>
      </c>
    </row>
    <row r="90" spans="11:26" x14ac:dyDescent="0.2">
      <c r="K90" s="6">
        <v>10</v>
      </c>
      <c r="L90" t="s">
        <v>115</v>
      </c>
      <c r="M90">
        <v>0</v>
      </c>
      <c r="N90">
        <v>16</v>
      </c>
      <c r="O90">
        <f t="shared" si="25"/>
        <v>16</v>
      </c>
      <c r="P90" s="3">
        <f t="shared" si="26"/>
        <v>0</v>
      </c>
      <c r="Q90" s="3">
        <f t="shared" si="27"/>
        <v>100</v>
      </c>
      <c r="T90">
        <v>10</v>
      </c>
      <c r="U90" t="s">
        <v>115</v>
      </c>
      <c r="V90">
        <v>0</v>
      </c>
      <c r="W90">
        <v>0</v>
      </c>
      <c r="X90">
        <f t="shared" si="24"/>
        <v>0</v>
      </c>
      <c r="Y90" s="3">
        <v>0</v>
      </c>
      <c r="Z90" s="3">
        <v>0</v>
      </c>
    </row>
    <row r="91" spans="11:26" x14ac:dyDescent="0.2">
      <c r="K91" s="6">
        <v>11</v>
      </c>
      <c r="L91" t="s">
        <v>115</v>
      </c>
      <c r="M91">
        <v>77</v>
      </c>
      <c r="N91">
        <v>0</v>
      </c>
      <c r="O91">
        <f t="shared" si="25"/>
        <v>77</v>
      </c>
      <c r="P91" s="3">
        <f t="shared" si="26"/>
        <v>100</v>
      </c>
      <c r="Q91" s="3">
        <f t="shared" si="27"/>
        <v>0</v>
      </c>
      <c r="T91">
        <v>11</v>
      </c>
      <c r="U91" t="s">
        <v>115</v>
      </c>
      <c r="V91">
        <v>0</v>
      </c>
      <c r="W91">
        <v>0</v>
      </c>
      <c r="X91">
        <f t="shared" si="24"/>
        <v>0</v>
      </c>
      <c r="Y91" s="3">
        <v>0</v>
      </c>
      <c r="Z91" s="3">
        <v>0</v>
      </c>
    </row>
    <row r="92" spans="11:26" x14ac:dyDescent="0.2">
      <c r="K92" s="6">
        <v>12</v>
      </c>
      <c r="L92" t="s">
        <v>115</v>
      </c>
      <c r="M92">
        <v>0</v>
      </c>
      <c r="N92">
        <v>3</v>
      </c>
      <c r="O92">
        <f t="shared" si="25"/>
        <v>3</v>
      </c>
      <c r="P92" s="3">
        <f t="shared" si="26"/>
        <v>0</v>
      </c>
      <c r="Q92" s="3">
        <f t="shared" si="27"/>
        <v>100</v>
      </c>
      <c r="T92">
        <v>12</v>
      </c>
      <c r="U92" t="s">
        <v>115</v>
      </c>
      <c r="V92">
        <v>0</v>
      </c>
      <c r="W92">
        <v>0</v>
      </c>
      <c r="X92">
        <f t="shared" si="24"/>
        <v>0</v>
      </c>
      <c r="Y92" s="3">
        <v>0</v>
      </c>
      <c r="Z92" s="3">
        <v>0</v>
      </c>
    </row>
    <row r="93" spans="11:26" x14ac:dyDescent="0.2">
      <c r="K93" s="6">
        <v>13</v>
      </c>
      <c r="L93" t="s">
        <v>115</v>
      </c>
      <c r="M93">
        <v>0</v>
      </c>
      <c r="N93">
        <v>16</v>
      </c>
      <c r="O93">
        <f t="shared" si="25"/>
        <v>16</v>
      </c>
      <c r="P93" s="3">
        <f t="shared" si="26"/>
        <v>0</v>
      </c>
      <c r="Q93" s="3">
        <f t="shared" si="27"/>
        <v>100</v>
      </c>
      <c r="T93">
        <v>13</v>
      </c>
      <c r="U93" t="s">
        <v>115</v>
      </c>
      <c r="V93">
        <v>0</v>
      </c>
      <c r="W93">
        <v>0</v>
      </c>
      <c r="X93">
        <f t="shared" si="24"/>
        <v>0</v>
      </c>
      <c r="Y93" s="3">
        <v>0</v>
      </c>
      <c r="Z93" s="3">
        <v>0</v>
      </c>
    </row>
    <row r="94" spans="11:26" x14ac:dyDescent="0.2">
      <c r="K94">
        <v>14</v>
      </c>
      <c r="L94" t="s">
        <v>115</v>
      </c>
      <c r="M94">
        <v>0</v>
      </c>
      <c r="N94">
        <v>12</v>
      </c>
      <c r="O94">
        <f t="shared" si="25"/>
        <v>12</v>
      </c>
      <c r="P94" s="3">
        <f t="shared" si="26"/>
        <v>0</v>
      </c>
      <c r="Q94" s="3">
        <f t="shared" si="27"/>
        <v>100</v>
      </c>
      <c r="T94">
        <v>14</v>
      </c>
      <c r="U94" t="s">
        <v>115</v>
      </c>
      <c r="V94">
        <v>0</v>
      </c>
      <c r="W94">
        <v>21</v>
      </c>
      <c r="X94">
        <f>V94+W94</f>
        <v>21</v>
      </c>
      <c r="Y94" s="3">
        <f t="shared" si="28"/>
        <v>0</v>
      </c>
      <c r="Z94" s="3">
        <f t="shared" si="29"/>
        <v>100</v>
      </c>
    </row>
    <row r="95" spans="11:26" x14ac:dyDescent="0.2">
      <c r="K95" s="6">
        <v>15</v>
      </c>
      <c r="L95" t="s">
        <v>115</v>
      </c>
      <c r="M95">
        <v>0</v>
      </c>
      <c r="N95">
        <v>0</v>
      </c>
      <c r="O95">
        <f t="shared" si="25"/>
        <v>0</v>
      </c>
      <c r="P95" s="3">
        <v>0</v>
      </c>
      <c r="Q95" s="3">
        <v>0</v>
      </c>
      <c r="T95">
        <v>15</v>
      </c>
      <c r="U95" t="s">
        <v>115</v>
      </c>
      <c r="V95">
        <v>0</v>
      </c>
      <c r="W95">
        <v>0</v>
      </c>
      <c r="X95">
        <f t="shared" si="24"/>
        <v>0</v>
      </c>
      <c r="Y95" s="3">
        <v>0</v>
      </c>
      <c r="Z95" s="3">
        <v>0</v>
      </c>
    </row>
    <row r="96" spans="11:26" x14ac:dyDescent="0.2">
      <c r="K96">
        <v>16</v>
      </c>
      <c r="L96" t="s">
        <v>115</v>
      </c>
      <c r="M96">
        <v>17</v>
      </c>
      <c r="N96">
        <v>0</v>
      </c>
      <c r="O96">
        <f t="shared" si="25"/>
        <v>17</v>
      </c>
      <c r="P96" s="3">
        <f t="shared" si="26"/>
        <v>100</v>
      </c>
      <c r="Q96" s="3">
        <f t="shared" si="27"/>
        <v>0</v>
      </c>
      <c r="T96">
        <v>16</v>
      </c>
      <c r="U96" t="s">
        <v>115</v>
      </c>
      <c r="V96">
        <v>47</v>
      </c>
      <c r="W96">
        <v>0</v>
      </c>
      <c r="X96">
        <f t="shared" si="24"/>
        <v>47</v>
      </c>
      <c r="Y96" s="3">
        <f t="shared" si="28"/>
        <v>100</v>
      </c>
      <c r="Z96" s="3">
        <f t="shared" si="29"/>
        <v>0</v>
      </c>
    </row>
    <row r="97" spans="11:26" x14ac:dyDescent="0.2">
      <c r="K97" s="6">
        <v>17</v>
      </c>
      <c r="L97" t="s">
        <v>115</v>
      </c>
      <c r="M97">
        <v>0</v>
      </c>
      <c r="N97">
        <v>0</v>
      </c>
      <c r="O97">
        <f t="shared" si="25"/>
        <v>0</v>
      </c>
      <c r="P97" s="3">
        <v>0</v>
      </c>
      <c r="Q97" s="3">
        <v>0</v>
      </c>
      <c r="T97">
        <v>17</v>
      </c>
      <c r="U97" t="s">
        <v>115</v>
      </c>
      <c r="V97">
        <v>0</v>
      </c>
      <c r="W97">
        <v>0</v>
      </c>
      <c r="X97">
        <f t="shared" si="24"/>
        <v>0</v>
      </c>
      <c r="Y97" s="3">
        <v>0</v>
      </c>
      <c r="Z97" s="3">
        <v>0</v>
      </c>
    </row>
    <row r="98" spans="11:26" x14ac:dyDescent="0.2">
      <c r="K98">
        <v>18</v>
      </c>
      <c r="L98" t="s">
        <v>115</v>
      </c>
      <c r="M98">
        <v>0</v>
      </c>
      <c r="N98">
        <v>0</v>
      </c>
      <c r="O98">
        <f t="shared" si="25"/>
        <v>0</v>
      </c>
      <c r="P98" s="3">
        <v>0</v>
      </c>
      <c r="Q98" s="3">
        <v>0</v>
      </c>
      <c r="T98">
        <v>18</v>
      </c>
      <c r="U98" t="s">
        <v>115</v>
      </c>
      <c r="V98">
        <v>0</v>
      </c>
      <c r="W98">
        <v>1</v>
      </c>
      <c r="X98">
        <f t="shared" si="24"/>
        <v>1</v>
      </c>
      <c r="Y98" s="3">
        <f t="shared" si="28"/>
        <v>0</v>
      </c>
      <c r="Z98" s="3">
        <f t="shared" si="29"/>
        <v>100</v>
      </c>
    </row>
    <row r="99" spans="11:26" x14ac:dyDescent="0.2">
      <c r="K99" s="6">
        <v>19</v>
      </c>
      <c r="L99" t="s">
        <v>115</v>
      </c>
      <c r="M99">
        <v>0</v>
      </c>
      <c r="N99">
        <v>0</v>
      </c>
      <c r="O99">
        <f t="shared" si="25"/>
        <v>0</v>
      </c>
      <c r="P99" s="3">
        <v>0</v>
      </c>
      <c r="Q99" s="3">
        <v>0</v>
      </c>
      <c r="T99">
        <v>19</v>
      </c>
      <c r="U99" t="s">
        <v>115</v>
      </c>
      <c r="V99">
        <v>0</v>
      </c>
      <c r="W99">
        <v>0</v>
      </c>
      <c r="X99">
        <f t="shared" si="24"/>
        <v>0</v>
      </c>
      <c r="Y99" s="3">
        <v>0</v>
      </c>
      <c r="Z99" s="3">
        <v>0</v>
      </c>
    </row>
    <row r="100" spans="11:26" x14ac:dyDescent="0.2">
      <c r="K100">
        <v>20</v>
      </c>
      <c r="L100" t="s">
        <v>115</v>
      </c>
      <c r="M100">
        <v>55</v>
      </c>
      <c r="N100">
        <v>0</v>
      </c>
      <c r="O100">
        <f t="shared" si="25"/>
        <v>55</v>
      </c>
      <c r="P100" s="3">
        <f t="shared" si="26"/>
        <v>100</v>
      </c>
      <c r="Q100" s="3">
        <f t="shared" si="27"/>
        <v>0</v>
      </c>
      <c r="T100">
        <v>20</v>
      </c>
      <c r="U100" t="s">
        <v>115</v>
      </c>
      <c r="V100">
        <v>58</v>
      </c>
      <c r="W100">
        <v>4</v>
      </c>
      <c r="X100">
        <f t="shared" si="24"/>
        <v>62</v>
      </c>
      <c r="Y100" s="3">
        <f t="shared" si="28"/>
        <v>93.548387096774192</v>
      </c>
      <c r="Z100" s="3">
        <f t="shared" si="29"/>
        <v>6.4516129032258061</v>
      </c>
    </row>
    <row r="101" spans="11:26" x14ac:dyDescent="0.2">
      <c r="P101" s="5">
        <f>AVERAGE(P45:P100)</f>
        <v>46.332046332046332</v>
      </c>
      <c r="Q101" s="5">
        <f>AVERAGE(Q45:Q100)</f>
        <v>21.525096525096526</v>
      </c>
      <c r="R101" s="4"/>
      <c r="S101" s="4"/>
      <c r="T101" s="4"/>
      <c r="U101" s="4"/>
      <c r="V101" s="4"/>
      <c r="W101" s="4"/>
      <c r="X101" s="4"/>
      <c r="Y101" s="5">
        <f>AVERAGE(Y45:Y100)</f>
        <v>42.304133103574259</v>
      </c>
      <c r="Z101" s="5">
        <f>AVERAGE(Z45:Z100)</f>
        <v>14.838724039282884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HeadingPairs>
  <TitlesOfParts>
    <vt:vector size="19" baseType="lpstr">
      <vt:lpstr>README</vt:lpstr>
      <vt:lpstr>Figure 2 (Fertility-Limitation)</vt:lpstr>
      <vt:lpstr>Figure 4 (Tubule numbers)</vt:lpstr>
      <vt:lpstr>Figure 5 (GFP Sperm storage)</vt:lpstr>
      <vt:lpstr>Figure 6 (Offspring produced)</vt:lpstr>
      <vt:lpstr>Figure 7 (Postcopulatory SS)</vt:lpstr>
      <vt:lpstr>README!citation</vt:lpstr>
      <vt:lpstr>README!contact</vt:lpstr>
      <vt:lpstr>README!female_sperm_shotage_6_days_fig_2a.csv</vt:lpstr>
      <vt:lpstr>README!p2_conspecific_data_fig_7a.csv</vt:lpstr>
      <vt:lpstr>README!readme</vt:lpstr>
      <vt:lpstr>README!X14c6c08238a5f46d33e0b280e618824dc9efc47</vt:lpstr>
      <vt:lpstr>README!X200df35840ab51ee99384eb289b344010547c14</vt:lpstr>
      <vt:lpstr>README!X289bd4aafd6a95db7849aa631071745b5126399</vt:lpstr>
      <vt:lpstr>README!X2fcb0283d558db2e9f8037df1b4e2868d0535bd</vt:lpstr>
      <vt:lpstr>README!X7ec80ee3d6b8b2d0faf82771d7fcde9d5e25107</vt:lpstr>
      <vt:lpstr>README!X7fe816a0c5b97863996c973eb1064c61d876437</vt:lpstr>
      <vt:lpstr>README!Xef9d6f232f6e30b52ef04f6633352c772f47ffa</vt:lpstr>
      <vt:lpstr>README!Xf5dfa1583a1234f3a24e255e884c4a0ff7a888d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Vasudeva, Ramakrishnan</dc:creator>
  <cp:lastModifiedBy>Vasudeva, Ramakrishnan</cp:lastModifiedBy>
  <dcterms:created xsi:type="dcterms:W3CDTF">2026-09-09T07:50:56Z</dcterms:created>
  <dcterms:modified xsi:type="dcterms:W3CDTF">2026-09-09T09:56:18Z</dcterms:modified>
</cp:coreProperties>
</file>